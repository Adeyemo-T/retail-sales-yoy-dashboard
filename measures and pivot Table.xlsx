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mti\OneDrive\Desktop\project\excel sales perf\"/>
    </mc:Choice>
  </mc:AlternateContent>
  <xr:revisionPtr revIDLastSave="0" documentId="13_ncr:1_{C3112EE9-1D48-4F9D-B53C-259D4D9DD6DE}" xr6:coauthVersionLast="47" xr6:coauthVersionMax="47" xr10:uidLastSave="{00000000-0000-0000-0000-000000000000}"/>
  <bookViews>
    <workbookView xWindow="-120" yWindow="-120" windowWidth="20730" windowHeight="11760" xr2:uid="{0D2316A4-EC4B-43C9-9064-F233F866CA6C}"/>
  </bookViews>
  <sheets>
    <sheet name="CALCULATIONS" sheetId="2" r:id="rId1"/>
  </sheets>
  <definedNames>
    <definedName name="cost">CALCULATIONS!$A$12</definedName>
    <definedName name="date">CALCULATIONS!$B$2</definedName>
    <definedName name="profit">CALCULATIONS!$A$13</definedName>
    <definedName name="qty">CALCULATIONS!$A$11</definedName>
    <definedName name="sales">CALCULATIONS!$A$10</definedName>
    <definedName name="yoycost">CALCULATIONS!$D$12</definedName>
    <definedName name="yoyprofit">CALCULATIONS!$D$13</definedName>
    <definedName name="yoyqty">CALCULATIONS!$D$11</definedName>
    <definedName name="yoysales">CALCULATIONS!$D$10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12" i="2"/>
  <c r="A10" i="2"/>
  <c r="A11" i="2"/>
  <c r="B10" i="2"/>
  <c r="A12" i="2"/>
  <c r="B11" i="2"/>
  <c r="B13" i="2"/>
  <c r="A13" i="2"/>
  <c r="C10" i="2" l="1"/>
  <c r="D10" i="2" s="1"/>
  <c r="C11" i="2"/>
  <c r="D11" i="2" s="1"/>
  <c r="C12" i="2"/>
  <c r="D12" i="2" s="1"/>
  <c r="C13" i="2"/>
  <c r="D13" i="2" s="1"/>
</calcChain>
</file>

<file path=xl/sharedStrings.xml><?xml version="1.0" encoding="utf-8"?>
<sst xmlns="http://schemas.openxmlformats.org/spreadsheetml/2006/main" count="111" uniqueCount="51">
  <si>
    <t>Printer</t>
  </si>
  <si>
    <t>East</t>
  </si>
  <si>
    <t>Laptop</t>
  </si>
  <si>
    <t>Mouse</t>
  </si>
  <si>
    <t>Monitor</t>
  </si>
  <si>
    <t>West</t>
  </si>
  <si>
    <t>South</t>
  </si>
  <si>
    <t>Keyboard</t>
  </si>
  <si>
    <t>Headphones</t>
  </si>
  <si>
    <t>North</t>
  </si>
  <si>
    <t>Sum of Cost</t>
  </si>
  <si>
    <t>Sum of Quantity</t>
  </si>
  <si>
    <t>Sum of Sales</t>
  </si>
  <si>
    <t>Row Labels</t>
  </si>
  <si>
    <t>2023</t>
  </si>
  <si>
    <t>2024</t>
  </si>
  <si>
    <t>Grand Total</t>
  </si>
  <si>
    <t>Sum of Profit</t>
  </si>
  <si>
    <t>keey performance indicators</t>
  </si>
  <si>
    <t>CY</t>
  </si>
  <si>
    <t>PY</t>
  </si>
  <si>
    <t>YOY</t>
  </si>
  <si>
    <t>sales</t>
  </si>
  <si>
    <t>qty</t>
  </si>
  <si>
    <t>cost</t>
  </si>
  <si>
    <t>profit</t>
  </si>
  <si>
    <t>[&gt;=1000000]$0.0,,"M";[&gt;=1000]$0.0,"K";0</t>
  </si>
  <si>
    <t>SALES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</si>
  <si>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</si>
  <si>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</si>
  <si>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</si>
  <si>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</si>
  <si>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</si>
  <si>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</si>
  <si>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</si>
  <si>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</si>
  <si>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</si>
  <si>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</si>
  <si>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</si>
  <si>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</si>
  <si>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</si>
  <si>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PRODUCT</t>
  </si>
  <si>
    <t>REGION</t>
  </si>
  <si>
    <t>Qtr1</t>
  </si>
  <si>
    <t>Qtr2</t>
  </si>
  <si>
    <t>Qtr3</t>
  </si>
  <si>
    <t>Qtr4</t>
  </si>
  <si>
    <t>SALES KPI</t>
  </si>
  <si>
    <t>QTY KPI</t>
  </si>
  <si>
    <t>COST KPI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</si>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</sst>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$-C09]#,##0.00"/>
    <numFmt numFmtId="165" formatCode="[$$-C09]#,##0"/>
    <numFmt numFmtId="166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numFmt numFmtId="165" formatCode="[$$-C09]#,##0"/>
    </dxf>
    <dxf>
      <numFmt numFmtId="165" formatCode="[$$-C09]#,##0"/>
    </dxf>
    <dxf>
      <numFmt numFmtId="164" formatCode="[$$-C09]#,##0.00"/>
    </dxf>
    <dxf>
      <numFmt numFmtId="164" formatCode="[$$-C09]#,##0.00"/>
    </dxf>
    <dxf>
      <numFmt numFmtId="165" formatCode="[$$-C09]#,##0"/>
    </dxf>
    <dxf>
      <numFmt numFmtId="165" formatCode="[$$-C09]#,##0"/>
    </dxf>
    <dxf>
      <numFmt numFmtId="165" formatCode="[$$-C09]#,##0"/>
    </dxf>
    <dxf>
      <numFmt numFmtId="165" formatCode="[$$-C09]#,##0"/>
    </dxf>
    <dxf>
      <numFmt numFmtId="165" formatCode="[$$-C09]#,##0"/>
    </dxf>
    <dxf>
      <numFmt numFmtId="165" formatCode="[$$-C09]#,##0"/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1" tint="0.1499679555650502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5 2" pivot="0" table="0" count="10" xr9:uid="{AA578672-56EB-4272-8065-863DD6881FB0}">
      <tableStyleElement type="wholeTable" dxfId="11"/>
      <tableStyleElement type="headerRow" dxfId="10"/>
    </tableStyle>
  </tableStyles>
  <colors>
    <mruColors>
      <color rgb="FF232457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8" tint="-0.249977111117893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theme="8" tint="0.59999389629810485"/>
            </left>
            <right style="thin">
              <color theme="8" tint="0.59999389629810485"/>
            </right>
            <top style="thin">
              <color theme="8" tint="0.59999389629810485"/>
            </top>
            <bottom style="thin">
              <color theme="8" tint="0.59999389629810485"/>
            </bottom>
            <vertical/>
            <horizontal/>
          </border>
        </dxf>
        <dxf>
          <font>
            <sz val="9"/>
            <color theme="0"/>
          </font>
          <fill>
            <patternFill patternType="solid">
              <fgColor theme="1" tint="0.34998626667073579"/>
              <bgColor theme="7" tint="0.399914548173467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0" tint="-0.34998626667073579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5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TA!A1"/><Relationship Id="rId2" Type="http://schemas.openxmlformats.org/officeDocument/2006/relationships/image" Target="../media/image1.png"/><Relationship Id="rId1" Type="http://schemas.openxmlformats.org/officeDocument/2006/relationships/hyperlink" Target="#DASHBOARD!A1"/><Relationship Id="rId6" Type="http://schemas.openxmlformats.org/officeDocument/2006/relationships/image" Target="../media/image3.png"/><Relationship Id="rId5" Type="http://schemas.openxmlformats.org/officeDocument/2006/relationships/hyperlink" Target="#CALCULATIONS!A1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5</xdr:row>
      <xdr:rowOff>28575</xdr:rowOff>
    </xdr:from>
    <xdr:to>
      <xdr:col>14</xdr:col>
      <xdr:colOff>274007</xdr:colOff>
      <xdr:row>6</xdr:row>
      <xdr:rowOff>123825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92932A1-C376-4D84-BCED-110D5DF71AA4}"/>
            </a:ext>
          </a:extLst>
        </xdr:cNvPr>
        <xdr:cNvSpPr/>
      </xdr:nvSpPr>
      <xdr:spPr>
        <a:xfrm>
          <a:off x="6934200" y="981075"/>
          <a:ext cx="4141157" cy="285750"/>
        </a:xfrm>
        <a:prstGeom prst="roundRect">
          <a:avLst>
            <a:gd name="adj" fmla="val 29167"/>
          </a:avLst>
        </a:prstGeom>
        <a:solidFill>
          <a:srgbClr val="001C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G" sz="1100"/>
        </a:p>
      </xdr:txBody>
    </xdr:sp>
    <xdr:clientData/>
  </xdr:twoCellAnchor>
  <xdr:twoCellAnchor editAs="oneCell">
    <xdr:from>
      <xdr:col>7</xdr:col>
      <xdr:colOff>276199</xdr:colOff>
      <xdr:row>0</xdr:row>
      <xdr:rowOff>71714</xdr:rowOff>
    </xdr:from>
    <xdr:to>
      <xdr:col>7</xdr:col>
      <xdr:colOff>497911</xdr:colOff>
      <xdr:row>1</xdr:row>
      <xdr:rowOff>41452</xdr:rowOff>
    </xdr:to>
    <xdr:pic>
      <xdr:nvPicPr>
        <xdr:cNvPr id="12" name="Picture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6B1575-02EE-4D7E-BBE3-5B6F661AC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8324" y="71714"/>
          <a:ext cx="221712" cy="160238"/>
        </a:xfrm>
        <a:prstGeom prst="rect">
          <a:avLst/>
        </a:prstGeom>
      </xdr:spPr>
    </xdr:pic>
    <xdr:clientData/>
  </xdr:twoCellAnchor>
  <xdr:twoCellAnchor editAs="oneCell">
    <xdr:from>
      <xdr:col>11</xdr:col>
      <xdr:colOff>245484</xdr:colOff>
      <xdr:row>0</xdr:row>
      <xdr:rowOff>71713</xdr:rowOff>
    </xdr:from>
    <xdr:to>
      <xdr:col>11</xdr:col>
      <xdr:colOff>467196</xdr:colOff>
      <xdr:row>1</xdr:row>
      <xdr:rowOff>48644</xdr:rowOff>
    </xdr:to>
    <xdr:pic>
      <xdr:nvPicPr>
        <xdr:cNvPr id="13" name="Pictur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BA6A10E-B08C-41A6-96FA-2C3C8CF02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03734" y="71713"/>
          <a:ext cx="221712" cy="167431"/>
        </a:xfrm>
        <a:prstGeom prst="rect">
          <a:avLst/>
        </a:prstGeom>
      </xdr:spPr>
    </xdr:pic>
    <xdr:clientData/>
  </xdr:twoCellAnchor>
  <xdr:twoCellAnchor editAs="oneCell">
    <xdr:from>
      <xdr:col>8</xdr:col>
      <xdr:colOff>1008554</xdr:colOff>
      <xdr:row>0</xdr:row>
      <xdr:rowOff>71714</xdr:rowOff>
    </xdr:from>
    <xdr:to>
      <xdr:col>9</xdr:col>
      <xdr:colOff>106316</xdr:colOff>
      <xdr:row>1</xdr:row>
      <xdr:rowOff>41452</xdr:rowOff>
    </xdr:to>
    <xdr:pic>
      <xdr:nvPicPr>
        <xdr:cNvPr id="14" name="Picture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5A341C3-F428-4267-A7C2-DD2161420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76029" y="71714"/>
          <a:ext cx="221712" cy="1602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uwatimileyin Adeyemo" refreshedDate="45857.511119328701" createdVersion="8" refreshedVersion="8" minRefreshableVersion="3" recordCount="300" xr:uid="{0CD3D446-63BF-430B-B0B3-957C14721F86}">
  <cacheSource type="worksheet">
    <worksheetSource name="Table1"/>
  </cacheSource>
  <cacheFields count="14">
    <cacheField name="OrderID" numFmtId="0">
      <sharedItems/>
    </cacheField>
    <cacheField name="Date" numFmtId="0">
      <sharedItems containsSemiMixedTypes="0" containsNonDate="0" containsDate="1" containsString="0" minDate="2023-01-02T00:00:00" maxDate="2024-12-27T00:00:00" count="255">
        <d v="2023-01-26T00:00:00"/>
        <d v="2024-08-27T00:00:00"/>
        <d v="2024-07-28T00:00:00"/>
        <d v="2024-04-04T00:00:00"/>
        <d v="2023-12-15T00:00:00"/>
        <d v="2023-04-05T00:00:00"/>
        <d v="2023-02-14T00:00:00"/>
        <d v="2024-07-19T00:00:00"/>
        <d v="2024-12-22T00:00:00"/>
        <d v="2023-08-27T00:00:00"/>
        <d v="2024-01-15T00:00:00"/>
        <d v="2024-09-15T00:00:00"/>
        <d v="2023-10-04T00:00:00"/>
        <d v="2023-02-02T00:00:00"/>
        <d v="2023-08-06T00:00:00"/>
        <d v="2023-09-29T00:00:00"/>
        <d v="2024-08-20T00:00:00"/>
        <d v="2023-04-04T00:00:00"/>
        <d v="2024-09-02T00:00:00"/>
        <d v="2024-07-20T00:00:00"/>
        <d v="2024-10-18T00:00:00"/>
        <d v="2023-09-27T00:00:00"/>
        <d v="2024-10-16T00:00:00"/>
        <d v="2024-09-05T00:00:00"/>
        <d v="2023-09-03T00:00:00"/>
        <d v="2024-05-12T00:00:00"/>
        <d v="2024-11-06T00:00:00"/>
        <d v="2023-08-05T00:00:00"/>
        <d v="2024-02-13T00:00:00"/>
        <d v="2023-08-19T00:00:00"/>
        <d v="2023-01-08T00:00:00"/>
        <d v="2023-12-05T00:00:00"/>
        <d v="2024-07-06T00:00:00"/>
        <d v="2023-09-06T00:00:00"/>
        <d v="2023-12-29T00:00:00"/>
        <d v="2023-03-04T00:00:00"/>
        <d v="2023-07-16T00:00:00"/>
        <d v="2024-04-18T00:00:00"/>
        <d v="2023-02-21T00:00:00"/>
        <d v="2024-02-21T00:00:00"/>
        <d v="2024-01-24T00:00:00"/>
        <d v="2024-03-09T00:00:00"/>
        <d v="2023-08-11T00:00:00"/>
        <d v="2023-02-28T00:00:00"/>
        <d v="2024-11-22T00:00:00"/>
        <d v="2024-08-15T00:00:00"/>
        <d v="2023-09-25T00:00:00"/>
        <d v="2023-05-15T00:00:00"/>
        <d v="2024-04-14T00:00:00"/>
        <d v="2024-06-02T00:00:00"/>
        <d v="2024-01-14T00:00:00"/>
        <d v="2024-09-18T00:00:00"/>
        <d v="2023-05-18T00:00:00"/>
        <d v="2023-10-06T00:00:00"/>
        <d v="2024-06-01T00:00:00"/>
        <d v="2024-10-11T00:00:00"/>
        <d v="2024-10-14T00:00:00"/>
        <d v="2024-07-12T00:00:00"/>
        <d v="2023-05-11T00:00:00"/>
        <d v="2023-08-04T00:00:00"/>
        <d v="2024-09-27T00:00:00"/>
        <d v="2024-02-27T00:00:00"/>
        <d v="2023-10-01T00:00:00"/>
        <d v="2023-08-16T00:00:00"/>
        <d v="2023-08-17T00:00:00"/>
        <d v="2023-10-13T00:00:00"/>
        <d v="2023-01-29T00:00:00"/>
        <d v="2023-02-09T00:00:00"/>
        <d v="2024-09-12T00:00:00"/>
        <d v="2023-02-15T00:00:00"/>
        <d v="2024-01-08T00:00:00"/>
        <d v="2024-11-10T00:00:00"/>
        <d v="2023-12-01T00:00:00"/>
        <d v="2024-11-11T00:00:00"/>
        <d v="2024-02-20T00:00:00"/>
        <d v="2024-08-16T00:00:00"/>
        <d v="2024-06-07T00:00:00"/>
        <d v="2024-11-05T00:00:00"/>
        <d v="2023-04-06T00:00:00"/>
        <d v="2024-02-29T00:00:00"/>
        <d v="2023-09-07T00:00:00"/>
        <d v="2023-08-13T00:00:00"/>
        <d v="2024-07-24T00:00:00"/>
        <d v="2024-11-14T00:00:00"/>
        <d v="2024-07-15T00:00:00"/>
        <d v="2023-09-23T00:00:00"/>
        <d v="2024-10-03T00:00:00"/>
        <d v="2023-08-25T00:00:00"/>
        <d v="2024-02-22T00:00:00"/>
        <d v="2024-02-03T00:00:00"/>
        <d v="2024-05-03T00:00:00"/>
        <d v="2024-07-05T00:00:00"/>
        <d v="2023-10-07T00:00:00"/>
        <d v="2023-06-19T00:00:00"/>
        <d v="2024-02-08T00:00:00"/>
        <d v="2023-05-19T00:00:00"/>
        <d v="2024-04-10T00:00:00"/>
        <d v="2023-09-16T00:00:00"/>
        <d v="2023-08-18T00:00:00"/>
        <d v="2023-07-24T00:00:00"/>
        <d v="2024-07-31T00:00:00"/>
        <d v="2023-04-21T00:00:00"/>
        <d v="2024-02-11T00:00:00"/>
        <d v="2023-04-15T00:00:00"/>
        <d v="2023-12-22T00:00:00"/>
        <d v="2023-01-13T00:00:00"/>
        <d v="2024-12-25T00:00:00"/>
        <d v="2024-09-22T00:00:00"/>
        <d v="2023-11-27T00:00:00"/>
        <d v="2024-04-20T00:00:00"/>
        <d v="2023-11-29T00:00:00"/>
        <d v="2023-10-14T00:00:00"/>
        <d v="2023-03-29T00:00:00"/>
        <d v="2024-10-23T00:00:00"/>
        <d v="2024-02-19T00:00:00"/>
        <d v="2024-03-11T00:00:00"/>
        <d v="2023-09-15T00:00:00"/>
        <d v="2023-04-13T00:00:00"/>
        <d v="2024-12-26T00:00:00"/>
        <d v="2024-12-15T00:00:00"/>
        <d v="2024-08-10T00:00:00"/>
        <d v="2024-08-13T00:00:00"/>
        <d v="2023-09-12T00:00:00"/>
        <d v="2024-06-19T00:00:00"/>
        <d v="2023-11-09T00:00:00"/>
        <d v="2023-08-01T00:00:00"/>
        <d v="2023-10-26T00:00:00"/>
        <d v="2023-03-14T00:00:00"/>
        <d v="2023-03-15T00:00:00"/>
        <d v="2024-03-25T00:00:00"/>
        <d v="2024-05-27T00:00:00"/>
        <d v="2024-11-19T00:00:00"/>
        <d v="2024-06-15T00:00:00"/>
        <d v="2024-10-12T00:00:00"/>
        <d v="2023-11-25T00:00:00"/>
        <d v="2023-10-23T00:00:00"/>
        <d v="2023-11-19T00:00:00"/>
        <d v="2024-11-04T00:00:00"/>
        <d v="2024-09-29T00:00:00"/>
        <d v="2024-07-16T00:00:00"/>
        <d v="2023-05-05T00:00:00"/>
        <d v="2023-11-15T00:00:00"/>
        <d v="2024-04-17T00:00:00"/>
        <d v="2024-06-05T00:00:00"/>
        <d v="2024-04-12T00:00:00"/>
        <d v="2023-03-13T00:00:00"/>
        <d v="2023-01-03T00:00:00"/>
        <d v="2023-06-02T00:00:00"/>
        <d v="2024-04-11T00:00:00"/>
        <d v="2023-08-28T00:00:00"/>
        <d v="2024-01-31T00:00:00"/>
        <d v="2024-02-24T00:00:00"/>
        <d v="2024-09-30T00:00:00"/>
        <d v="2023-11-21T00:00:00"/>
        <d v="2024-10-08T00:00:00"/>
        <d v="2024-10-10T00:00:00"/>
        <d v="2024-06-27T00:00:00"/>
        <d v="2023-03-22T00:00:00"/>
        <d v="2024-11-13T00:00:00"/>
        <d v="2023-03-17T00:00:00"/>
        <d v="2024-12-07T00:00:00"/>
        <d v="2023-04-20T00:00:00"/>
        <d v="2023-01-23T00:00:00"/>
        <d v="2024-10-05T00:00:00"/>
        <d v="2023-02-04T00:00:00"/>
        <d v="2024-03-01T00:00:00"/>
        <d v="2023-06-18T00:00:00"/>
        <d v="2023-04-28T00:00:00"/>
        <d v="2024-10-15T00:00:00"/>
        <d v="2024-09-16T00:00:00"/>
        <d v="2024-10-26T00:00:00"/>
        <d v="2024-05-19T00:00:00"/>
        <d v="2024-04-09T00:00:00"/>
        <d v="2024-08-24T00:00:00"/>
        <d v="2024-01-07T00:00:00"/>
        <d v="2024-11-09T00:00:00"/>
        <d v="2023-12-08T00:00:00"/>
        <d v="2024-07-21T00:00:00"/>
        <d v="2023-06-01T00:00:00"/>
        <d v="2024-07-07T00:00:00"/>
        <d v="2023-01-16T00:00:00"/>
        <d v="2023-06-28T00:00:00"/>
        <d v="2023-03-07T00:00:00"/>
        <d v="2024-04-07T00:00:00"/>
        <d v="2024-12-03T00:00:00"/>
        <d v="2023-11-26T00:00:00"/>
        <d v="2024-01-26T00:00:00"/>
        <d v="2023-04-12T00:00:00"/>
        <d v="2024-03-16T00:00:00"/>
        <d v="2023-06-06T00:00:00"/>
        <d v="2023-04-09T00:00:00"/>
        <d v="2024-11-17T00:00:00"/>
        <d v="2023-10-22T00:00:00"/>
        <d v="2023-06-08T00:00:00"/>
        <d v="2023-12-26T00:00:00"/>
        <d v="2024-01-21T00:00:00"/>
        <d v="2024-08-04T00:00:00"/>
        <d v="2024-11-21T00:00:00"/>
        <d v="2023-04-24T00:00:00"/>
        <d v="2023-02-16T00:00:00"/>
        <d v="2023-11-05T00:00:00"/>
        <d v="2023-05-03T00:00:00"/>
        <d v="2024-06-29T00:00:00"/>
        <d v="2024-08-12T00:00:00"/>
        <d v="2024-08-26T00:00:00"/>
        <d v="2023-08-15T00:00:00"/>
        <d v="2023-08-30T00:00:00"/>
        <d v="2024-11-02T00:00:00"/>
        <d v="2024-10-04T00:00:00"/>
        <d v="2023-10-09T00:00:00"/>
        <d v="2024-09-21T00:00:00"/>
        <d v="2024-04-05T00:00:00"/>
        <d v="2023-03-05T00:00:00"/>
        <d v="2024-05-31T00:00:00"/>
        <d v="2023-10-18T00:00:00"/>
        <d v="2024-07-26T00:00:00"/>
        <d v="2023-08-08T00:00:00"/>
        <d v="2024-11-08T00:00:00"/>
        <d v="2023-06-07T00:00:00"/>
        <d v="2024-03-24T00:00:00"/>
        <d v="2024-09-17T00:00:00"/>
        <d v="2023-11-13T00:00:00"/>
        <d v="2024-01-16T00:00:00"/>
        <d v="2023-10-19T00:00:00"/>
        <d v="2024-03-23T00:00:00"/>
        <d v="2023-01-28T00:00:00"/>
        <d v="2023-03-25T00:00:00"/>
        <d v="2023-05-30T00:00:00"/>
        <d v="2024-12-23T00:00:00"/>
        <d v="2023-09-20T00:00:00"/>
        <d v="2024-10-09T00:00:00"/>
        <d v="2023-01-02T00:00:00"/>
        <d v="2024-06-20T00:00:00"/>
        <d v="2024-02-04T00:00:00"/>
        <d v="2023-01-17T00:00:00"/>
        <d v="2024-08-18T00:00:00"/>
        <d v="2024-12-02T00:00:00"/>
        <d v="2023-03-06T00:00:00"/>
        <d v="2023-11-20T00:00:00"/>
        <d v="2023-09-17T00:00:00"/>
        <d v="2024-03-26T00:00:00"/>
        <d v="2024-01-12T00:00:00"/>
        <d v="2023-04-16T00:00:00"/>
        <d v="2023-06-20T00:00:00"/>
        <d v="2023-02-01T00:00:00"/>
        <d v="2023-05-10T00:00:00"/>
        <d v="2024-08-03T00:00:00"/>
        <d v="2024-03-30T00:00:00"/>
        <d v="2024-10-27T00:00:00"/>
        <d v="2024-05-26T00:00:00"/>
        <d v="2024-12-21T00:00:00"/>
        <d v="2023-03-31T00:00:00"/>
        <d v="2023-11-04T00:00:00"/>
        <d v="2024-01-06T00:00:00"/>
        <d v="2024-05-20T00:00:00"/>
      </sharedItems>
      <fieldGroup par="13"/>
    </cacheField>
    <cacheField name="Months" numFmtId="0">
      <sharedItems containsNonDate="0" count="12">
        <s v="Jan"/>
        <s v="Aug"/>
        <s v="Jul"/>
        <s v="Apr"/>
        <s v="Dec"/>
        <s v="Feb"/>
        <s v="Sep"/>
        <s v="Oct"/>
        <s v="May"/>
        <s v="Nov"/>
        <s v="Mar"/>
        <s v="Jun"/>
      </sharedItems>
    </cacheField>
    <cacheField name="Year" numFmtId="0">
      <sharedItems containsNonDate="0" count="2">
        <s v="2023"/>
        <s v="2024"/>
      </sharedItems>
    </cacheField>
    <cacheField name="Product" numFmtId="0">
      <sharedItems count="6">
        <s v="Printer"/>
        <s v="Laptop"/>
        <s v="Mouse"/>
        <s v="Monitor"/>
        <s v="Keyboard"/>
        <s v="Headphones"/>
      </sharedItems>
    </cacheField>
    <cacheField name="Category" numFmtId="0">
      <sharedItems count="2">
        <s v="Electronics"/>
        <s v="Accessories"/>
      </sharedItems>
    </cacheField>
    <cacheField name="Region" numFmtId="0">
      <sharedItems count="4">
        <s v="East"/>
        <s v="West"/>
        <s v="South"/>
        <s v="North"/>
      </sharedItems>
    </cacheField>
    <cacheField name="Sales" numFmtId="0">
      <sharedItems containsSemiMixedTypes="0" containsString="0" containsNumber="1" minValue="87.11" maxValue="11969.38"/>
    </cacheField>
    <cacheField name="Quantity" numFmtId="0">
      <sharedItems containsSemiMixedTypes="0" containsString="0" containsNumber="1" containsInteger="1" minValue="1" maxValue="10"/>
    </cacheField>
    <cacheField name="Cost" numFmtId="0">
      <sharedItems containsSemiMixedTypes="0" containsString="0" containsNumber="1" minValue="21.32" maxValue="798.79"/>
    </cacheField>
    <cacheField name="Profit" numFmtId="0" formula="Sales-Cost" databaseField="0"/>
    <cacheField name="Months (Date)" numFmtId="0" databaseField="0">
      <fieldGroup base="1">
        <rangePr groupBy="months" startDate="2023-01-02T00:00:00" endDate="2024-12-27T00:00:00"/>
        <groupItems count="14">
          <s v="&lt;02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/12/2024"/>
        </groupItems>
      </fieldGroup>
    </cacheField>
    <cacheField name="Quarters (Date)" numFmtId="0" databaseField="0">
      <fieldGroup base="1">
        <rangePr groupBy="quarters" startDate="2023-01-02T00:00:00" endDate="2024-12-27T00:00:00"/>
        <groupItems count="6">
          <s v="&lt;02/01/2023"/>
          <s v="Qtr1"/>
          <s v="Qtr2"/>
          <s v="Qtr3"/>
          <s v="Qtr4"/>
          <s v="&gt;27/12/2024"/>
        </groupItems>
      </fieldGroup>
    </cacheField>
    <cacheField name="Years (Date)" numFmtId="0" databaseField="0">
      <fieldGroup base="1">
        <rangePr groupBy="years" startDate="2023-01-02T00:00:00" endDate="2024-12-27T00:00:00"/>
        <groupItems count="4">
          <s v="&lt;02/01/2023"/>
          <s v="2023"/>
          <s v="2024"/>
          <s v="&gt;27/12/2024"/>
        </groupItems>
      </fieldGroup>
    </cacheField>
  </cacheFields>
  <extLst>
    <ext xmlns:x14="http://schemas.microsoft.com/office/spreadsheetml/2009/9/main" uri="{725AE2AE-9491-48be-B2B4-4EB974FC3084}">
      <x14:pivotCacheDefinition pivotCacheId="26284174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RD0001"/>
    <x v="0"/>
    <x v="0"/>
    <x v="0"/>
    <x v="0"/>
    <x v="0"/>
    <x v="0"/>
    <n v="1219.5"/>
    <n v="5"/>
    <n v="211.02"/>
  </r>
  <r>
    <s v="ORD0002"/>
    <x v="1"/>
    <x v="1"/>
    <x v="1"/>
    <x v="1"/>
    <x v="0"/>
    <x v="0"/>
    <n v="356.63"/>
    <n v="7"/>
    <n v="44.79"/>
  </r>
  <r>
    <s v="ORD0003"/>
    <x v="2"/>
    <x v="2"/>
    <x v="1"/>
    <x v="2"/>
    <x v="1"/>
    <x v="0"/>
    <n v="3194.55"/>
    <n v="4"/>
    <n v="578.5"/>
  </r>
  <r>
    <s v="ORD0004"/>
    <x v="3"/>
    <x v="3"/>
    <x v="1"/>
    <x v="3"/>
    <x v="0"/>
    <x v="1"/>
    <n v="3430.95"/>
    <n v="10"/>
    <n v="236.99"/>
  </r>
  <r>
    <s v="ORD0005"/>
    <x v="4"/>
    <x v="4"/>
    <x v="0"/>
    <x v="2"/>
    <x v="1"/>
    <x v="2"/>
    <n v="1047.44"/>
    <n v="5"/>
    <n v="141.27000000000001"/>
  </r>
  <r>
    <s v="ORD0006"/>
    <x v="5"/>
    <x v="3"/>
    <x v="0"/>
    <x v="4"/>
    <x v="1"/>
    <x v="0"/>
    <n v="961.37"/>
    <n v="7"/>
    <n v="95.44"/>
  </r>
  <r>
    <s v="ORD0007"/>
    <x v="6"/>
    <x v="5"/>
    <x v="0"/>
    <x v="5"/>
    <x v="1"/>
    <x v="3"/>
    <n v="5221.42"/>
    <n v="8"/>
    <n v="438.26"/>
  </r>
  <r>
    <s v="ORD0008"/>
    <x v="7"/>
    <x v="2"/>
    <x v="1"/>
    <x v="3"/>
    <x v="0"/>
    <x v="0"/>
    <n v="4493.2"/>
    <n v="5"/>
    <n v="666.94"/>
  </r>
  <r>
    <s v="ORD0009"/>
    <x v="8"/>
    <x v="4"/>
    <x v="1"/>
    <x v="4"/>
    <x v="1"/>
    <x v="1"/>
    <n v="132.79"/>
    <n v="2"/>
    <n v="55.74"/>
  </r>
  <r>
    <s v="ORD0010"/>
    <x v="9"/>
    <x v="1"/>
    <x v="0"/>
    <x v="4"/>
    <x v="1"/>
    <x v="0"/>
    <n v="811.1"/>
    <n v="2"/>
    <n v="316.5"/>
  </r>
  <r>
    <s v="ORD0011"/>
    <x v="10"/>
    <x v="0"/>
    <x v="1"/>
    <x v="4"/>
    <x v="1"/>
    <x v="1"/>
    <n v="1328.1"/>
    <n v="6"/>
    <n v="183.42"/>
  </r>
  <r>
    <s v="ORD0012"/>
    <x v="11"/>
    <x v="6"/>
    <x v="1"/>
    <x v="0"/>
    <x v="0"/>
    <x v="0"/>
    <n v="1569.15"/>
    <n v="3"/>
    <n v="436.63"/>
  </r>
  <r>
    <s v="ORD0013"/>
    <x v="12"/>
    <x v="7"/>
    <x v="0"/>
    <x v="3"/>
    <x v="0"/>
    <x v="2"/>
    <n v="2117.1999999999998"/>
    <n v="9"/>
    <n v="191.3"/>
  </r>
  <r>
    <s v="ORD0014"/>
    <x v="13"/>
    <x v="5"/>
    <x v="0"/>
    <x v="1"/>
    <x v="0"/>
    <x v="1"/>
    <n v="2250.09"/>
    <n v="6"/>
    <n v="332.91"/>
  </r>
  <r>
    <s v="ORD0015"/>
    <x v="14"/>
    <x v="1"/>
    <x v="0"/>
    <x v="5"/>
    <x v="1"/>
    <x v="3"/>
    <n v="3853.23"/>
    <n v="8"/>
    <n v="328.59"/>
  </r>
  <r>
    <s v="ORD0016"/>
    <x v="15"/>
    <x v="6"/>
    <x v="0"/>
    <x v="3"/>
    <x v="0"/>
    <x v="1"/>
    <n v="843.88"/>
    <n v="3"/>
    <n v="212.37"/>
  </r>
  <r>
    <s v="ORD0017"/>
    <x v="16"/>
    <x v="1"/>
    <x v="1"/>
    <x v="4"/>
    <x v="1"/>
    <x v="2"/>
    <n v="3172.52"/>
    <n v="7"/>
    <n v="302.36"/>
  </r>
  <r>
    <s v="ORD0018"/>
    <x v="17"/>
    <x v="3"/>
    <x v="0"/>
    <x v="2"/>
    <x v="1"/>
    <x v="2"/>
    <n v="803.11"/>
    <n v="1"/>
    <n v="691.66"/>
  </r>
  <r>
    <s v="ORD0019"/>
    <x v="18"/>
    <x v="6"/>
    <x v="1"/>
    <x v="2"/>
    <x v="1"/>
    <x v="2"/>
    <n v="856.87"/>
    <n v="2"/>
    <n v="320.12"/>
  </r>
  <r>
    <s v="ORD0020"/>
    <x v="19"/>
    <x v="2"/>
    <x v="1"/>
    <x v="3"/>
    <x v="0"/>
    <x v="3"/>
    <n v="630.91"/>
    <n v="1"/>
    <n v="550.62"/>
  </r>
  <r>
    <s v="ORD0021"/>
    <x v="20"/>
    <x v="7"/>
    <x v="1"/>
    <x v="5"/>
    <x v="1"/>
    <x v="3"/>
    <n v="817.92"/>
    <n v="6"/>
    <n v="107.01"/>
  </r>
  <r>
    <s v="ORD0022"/>
    <x v="21"/>
    <x v="6"/>
    <x v="0"/>
    <x v="3"/>
    <x v="0"/>
    <x v="0"/>
    <n v="7204.65"/>
    <n v="9"/>
    <n v="614.33000000000004"/>
  </r>
  <r>
    <s v="ORD0023"/>
    <x v="22"/>
    <x v="7"/>
    <x v="1"/>
    <x v="1"/>
    <x v="0"/>
    <x v="3"/>
    <n v="5172.8599999999997"/>
    <n v="9"/>
    <n v="495"/>
  </r>
  <r>
    <s v="ORD0024"/>
    <x v="23"/>
    <x v="6"/>
    <x v="1"/>
    <x v="2"/>
    <x v="1"/>
    <x v="0"/>
    <n v="2755.02"/>
    <n v="6"/>
    <n v="401.11"/>
  </r>
  <r>
    <s v="ORD0025"/>
    <x v="24"/>
    <x v="6"/>
    <x v="0"/>
    <x v="4"/>
    <x v="1"/>
    <x v="3"/>
    <n v="275.83999999999997"/>
    <n v="1"/>
    <n v="207.88"/>
  </r>
  <r>
    <s v="ORD0026"/>
    <x v="25"/>
    <x v="8"/>
    <x v="1"/>
    <x v="1"/>
    <x v="0"/>
    <x v="0"/>
    <n v="2055.84"/>
    <n v="2"/>
    <n v="782.83"/>
  </r>
  <r>
    <s v="ORD0027"/>
    <x v="26"/>
    <x v="9"/>
    <x v="1"/>
    <x v="2"/>
    <x v="1"/>
    <x v="1"/>
    <n v="7075.97"/>
    <n v="8"/>
    <n v="758.54"/>
  </r>
  <r>
    <s v="ORD0028"/>
    <x v="27"/>
    <x v="1"/>
    <x v="0"/>
    <x v="5"/>
    <x v="1"/>
    <x v="2"/>
    <n v="7542.93"/>
    <n v="9"/>
    <n v="609.11"/>
  </r>
  <r>
    <s v="ORD0029"/>
    <x v="28"/>
    <x v="5"/>
    <x v="1"/>
    <x v="0"/>
    <x v="0"/>
    <x v="3"/>
    <n v="2836.67"/>
    <n v="6"/>
    <n v="361.72"/>
  </r>
  <r>
    <s v="ORD0030"/>
    <x v="29"/>
    <x v="1"/>
    <x v="0"/>
    <x v="1"/>
    <x v="0"/>
    <x v="1"/>
    <n v="757.69"/>
    <n v="2"/>
    <n v="283.70999999999998"/>
  </r>
  <r>
    <s v="ORD0031"/>
    <x v="30"/>
    <x v="0"/>
    <x v="0"/>
    <x v="2"/>
    <x v="1"/>
    <x v="1"/>
    <n v="1285.6099999999999"/>
    <n v="2"/>
    <n v="572.12"/>
  </r>
  <r>
    <s v="ORD0032"/>
    <x v="31"/>
    <x v="4"/>
    <x v="0"/>
    <x v="1"/>
    <x v="0"/>
    <x v="0"/>
    <n v="1020.09"/>
    <n v="2"/>
    <n v="421.04"/>
  </r>
  <r>
    <s v="ORD0033"/>
    <x v="32"/>
    <x v="2"/>
    <x v="1"/>
    <x v="3"/>
    <x v="0"/>
    <x v="1"/>
    <n v="2546.5300000000002"/>
    <n v="3"/>
    <n v="584.22"/>
  </r>
  <r>
    <s v="ORD0034"/>
    <x v="33"/>
    <x v="6"/>
    <x v="0"/>
    <x v="5"/>
    <x v="1"/>
    <x v="2"/>
    <n v="6114.64"/>
    <n v="8"/>
    <n v="649.85"/>
  </r>
  <r>
    <s v="ORD0035"/>
    <x v="34"/>
    <x v="4"/>
    <x v="0"/>
    <x v="1"/>
    <x v="0"/>
    <x v="2"/>
    <n v="3447.05"/>
    <n v="7"/>
    <n v="340.66"/>
  </r>
  <r>
    <s v="ORD0036"/>
    <x v="35"/>
    <x v="10"/>
    <x v="0"/>
    <x v="1"/>
    <x v="0"/>
    <x v="0"/>
    <n v="5845.79"/>
    <n v="7"/>
    <n v="588.01"/>
  </r>
  <r>
    <s v="ORD0037"/>
    <x v="36"/>
    <x v="2"/>
    <x v="0"/>
    <x v="1"/>
    <x v="0"/>
    <x v="1"/>
    <n v="2026.83"/>
    <n v="4"/>
    <n v="438.3"/>
  </r>
  <r>
    <s v="ORD0038"/>
    <x v="37"/>
    <x v="3"/>
    <x v="1"/>
    <x v="2"/>
    <x v="1"/>
    <x v="3"/>
    <n v="3173.92"/>
    <n v="4"/>
    <n v="702.1"/>
  </r>
  <r>
    <s v="ORD0039"/>
    <x v="38"/>
    <x v="5"/>
    <x v="0"/>
    <x v="5"/>
    <x v="1"/>
    <x v="0"/>
    <n v="8998.33"/>
    <n v="9"/>
    <n v="672.1"/>
  </r>
  <r>
    <s v="ORD0040"/>
    <x v="39"/>
    <x v="5"/>
    <x v="1"/>
    <x v="2"/>
    <x v="1"/>
    <x v="1"/>
    <n v="4574.24"/>
    <n v="8"/>
    <n v="395.46"/>
  </r>
  <r>
    <s v="ORD0041"/>
    <x v="40"/>
    <x v="0"/>
    <x v="1"/>
    <x v="1"/>
    <x v="0"/>
    <x v="1"/>
    <n v="951.04"/>
    <n v="1"/>
    <n v="788.54"/>
  </r>
  <r>
    <s v="ORD0042"/>
    <x v="41"/>
    <x v="10"/>
    <x v="1"/>
    <x v="3"/>
    <x v="0"/>
    <x v="3"/>
    <n v="6248.51"/>
    <n v="9"/>
    <n v="536.26"/>
  </r>
  <r>
    <s v="ORD0043"/>
    <x v="42"/>
    <x v="1"/>
    <x v="0"/>
    <x v="2"/>
    <x v="1"/>
    <x v="3"/>
    <n v="621.25"/>
    <n v="1"/>
    <n v="471.76"/>
  </r>
  <r>
    <s v="ORD0044"/>
    <x v="43"/>
    <x v="5"/>
    <x v="0"/>
    <x v="0"/>
    <x v="0"/>
    <x v="3"/>
    <n v="618.9"/>
    <n v="1"/>
    <n v="475.66"/>
  </r>
  <r>
    <s v="ORD0045"/>
    <x v="43"/>
    <x v="5"/>
    <x v="0"/>
    <x v="5"/>
    <x v="1"/>
    <x v="1"/>
    <n v="871.83"/>
    <n v="9"/>
    <n v="82.49"/>
  </r>
  <r>
    <s v="ORD0046"/>
    <x v="44"/>
    <x v="9"/>
    <x v="1"/>
    <x v="5"/>
    <x v="1"/>
    <x v="0"/>
    <n v="1978.34"/>
    <n v="4"/>
    <n v="334.94"/>
  </r>
  <r>
    <s v="ORD0047"/>
    <x v="45"/>
    <x v="1"/>
    <x v="1"/>
    <x v="5"/>
    <x v="1"/>
    <x v="1"/>
    <n v="577.72"/>
    <n v="10"/>
    <n v="51"/>
  </r>
  <r>
    <s v="ORD0048"/>
    <x v="46"/>
    <x v="6"/>
    <x v="0"/>
    <x v="0"/>
    <x v="0"/>
    <x v="3"/>
    <n v="2659.17"/>
    <n v="4"/>
    <n v="542.39"/>
  </r>
  <r>
    <s v="ORD0049"/>
    <x v="47"/>
    <x v="8"/>
    <x v="0"/>
    <x v="4"/>
    <x v="1"/>
    <x v="2"/>
    <n v="2771.33"/>
    <n v="5"/>
    <n v="376.64"/>
  </r>
  <r>
    <s v="ORD0050"/>
    <x v="48"/>
    <x v="3"/>
    <x v="1"/>
    <x v="1"/>
    <x v="0"/>
    <x v="0"/>
    <n v="11969.38"/>
    <n v="10"/>
    <n v="798.79"/>
  </r>
  <r>
    <s v="ORD0051"/>
    <x v="49"/>
    <x v="11"/>
    <x v="1"/>
    <x v="1"/>
    <x v="0"/>
    <x v="1"/>
    <n v="764.34"/>
    <n v="5"/>
    <n v="123.32"/>
  </r>
  <r>
    <s v="ORD0052"/>
    <x v="50"/>
    <x v="0"/>
    <x v="1"/>
    <x v="1"/>
    <x v="0"/>
    <x v="1"/>
    <n v="1025.24"/>
    <n v="5"/>
    <n v="143.04"/>
  </r>
  <r>
    <s v="ORD0053"/>
    <x v="51"/>
    <x v="6"/>
    <x v="1"/>
    <x v="0"/>
    <x v="0"/>
    <x v="3"/>
    <n v="335.17"/>
    <n v="9"/>
    <n v="26.1"/>
  </r>
  <r>
    <s v="ORD0054"/>
    <x v="52"/>
    <x v="8"/>
    <x v="0"/>
    <x v="4"/>
    <x v="1"/>
    <x v="0"/>
    <n v="628.72"/>
    <n v="5"/>
    <n v="110.03"/>
  </r>
  <r>
    <s v="ORD0055"/>
    <x v="53"/>
    <x v="7"/>
    <x v="0"/>
    <x v="5"/>
    <x v="1"/>
    <x v="1"/>
    <n v="3410.54"/>
    <n v="5"/>
    <n v="491.77"/>
  </r>
  <r>
    <s v="ORD0056"/>
    <x v="54"/>
    <x v="11"/>
    <x v="1"/>
    <x v="2"/>
    <x v="1"/>
    <x v="3"/>
    <n v="2527"/>
    <n v="8"/>
    <n v="215.87"/>
  </r>
  <r>
    <s v="ORD0057"/>
    <x v="55"/>
    <x v="7"/>
    <x v="1"/>
    <x v="1"/>
    <x v="0"/>
    <x v="0"/>
    <n v="5217.38"/>
    <n v="7"/>
    <n v="666.89"/>
  </r>
  <r>
    <s v="ORD0058"/>
    <x v="56"/>
    <x v="7"/>
    <x v="1"/>
    <x v="4"/>
    <x v="1"/>
    <x v="1"/>
    <n v="932.21"/>
    <n v="5"/>
    <n v="146.03"/>
  </r>
  <r>
    <s v="ORD0059"/>
    <x v="2"/>
    <x v="2"/>
    <x v="1"/>
    <x v="0"/>
    <x v="0"/>
    <x v="2"/>
    <n v="158.53"/>
    <n v="1"/>
    <n v="107.26"/>
  </r>
  <r>
    <s v="ORD0060"/>
    <x v="57"/>
    <x v="2"/>
    <x v="1"/>
    <x v="0"/>
    <x v="0"/>
    <x v="1"/>
    <n v="894.42"/>
    <n v="1"/>
    <n v="670.98"/>
  </r>
  <r>
    <s v="ORD0061"/>
    <x v="58"/>
    <x v="8"/>
    <x v="0"/>
    <x v="2"/>
    <x v="1"/>
    <x v="2"/>
    <n v="380.14"/>
    <n v="1"/>
    <n v="260.44"/>
  </r>
  <r>
    <s v="ORD0062"/>
    <x v="59"/>
    <x v="1"/>
    <x v="0"/>
    <x v="1"/>
    <x v="0"/>
    <x v="3"/>
    <n v="2682.62"/>
    <n v="4"/>
    <n v="540.21"/>
  </r>
  <r>
    <s v="ORD0063"/>
    <x v="60"/>
    <x v="6"/>
    <x v="1"/>
    <x v="5"/>
    <x v="1"/>
    <x v="2"/>
    <n v="2659.75"/>
    <n v="3"/>
    <n v="742.1"/>
  </r>
  <r>
    <s v="ORD0064"/>
    <x v="61"/>
    <x v="5"/>
    <x v="1"/>
    <x v="2"/>
    <x v="1"/>
    <x v="1"/>
    <n v="235.02"/>
    <n v="1"/>
    <n v="159.9"/>
  </r>
  <r>
    <s v="ORD0065"/>
    <x v="62"/>
    <x v="7"/>
    <x v="0"/>
    <x v="3"/>
    <x v="0"/>
    <x v="1"/>
    <n v="2174.9499999999998"/>
    <n v="3"/>
    <n v="634.15"/>
  </r>
  <r>
    <s v="ORD0066"/>
    <x v="63"/>
    <x v="1"/>
    <x v="0"/>
    <x v="1"/>
    <x v="0"/>
    <x v="2"/>
    <n v="3374.36"/>
    <n v="4"/>
    <n v="656.94"/>
  </r>
  <r>
    <s v="ORD0067"/>
    <x v="64"/>
    <x v="1"/>
    <x v="0"/>
    <x v="4"/>
    <x v="1"/>
    <x v="1"/>
    <n v="673.56"/>
    <n v="1"/>
    <n v="534.83000000000004"/>
  </r>
  <r>
    <s v="ORD0068"/>
    <x v="65"/>
    <x v="7"/>
    <x v="0"/>
    <x v="4"/>
    <x v="1"/>
    <x v="0"/>
    <n v="3933.52"/>
    <n v="6"/>
    <n v="520.36"/>
  </r>
  <r>
    <s v="ORD0069"/>
    <x v="66"/>
    <x v="0"/>
    <x v="0"/>
    <x v="5"/>
    <x v="1"/>
    <x v="3"/>
    <n v="1696.13"/>
    <n v="2"/>
    <n v="704.09"/>
  </r>
  <r>
    <s v="ORD0070"/>
    <x v="67"/>
    <x v="5"/>
    <x v="0"/>
    <x v="5"/>
    <x v="1"/>
    <x v="3"/>
    <n v="1201.94"/>
    <n v="2"/>
    <n v="485.33"/>
  </r>
  <r>
    <s v="ORD0071"/>
    <x v="68"/>
    <x v="6"/>
    <x v="1"/>
    <x v="4"/>
    <x v="1"/>
    <x v="2"/>
    <n v="1447.83"/>
    <n v="9"/>
    <n v="110.2"/>
  </r>
  <r>
    <s v="ORD0072"/>
    <x v="69"/>
    <x v="5"/>
    <x v="0"/>
    <x v="2"/>
    <x v="1"/>
    <x v="3"/>
    <n v="219.42"/>
    <n v="7"/>
    <n v="21.32"/>
  </r>
  <r>
    <s v="ORD0073"/>
    <x v="70"/>
    <x v="0"/>
    <x v="1"/>
    <x v="5"/>
    <x v="1"/>
    <x v="1"/>
    <n v="712.97"/>
    <n v="7"/>
    <n v="74.58"/>
  </r>
  <r>
    <s v="ORD0074"/>
    <x v="71"/>
    <x v="9"/>
    <x v="1"/>
    <x v="4"/>
    <x v="1"/>
    <x v="3"/>
    <n v="1418.79"/>
    <n v="2"/>
    <n v="581.41"/>
  </r>
  <r>
    <s v="ORD0075"/>
    <x v="72"/>
    <x v="4"/>
    <x v="0"/>
    <x v="4"/>
    <x v="1"/>
    <x v="2"/>
    <n v="5216.66"/>
    <n v="7"/>
    <n v="563.82000000000005"/>
  </r>
  <r>
    <s v="ORD0076"/>
    <x v="73"/>
    <x v="9"/>
    <x v="1"/>
    <x v="2"/>
    <x v="1"/>
    <x v="2"/>
    <n v="5608.04"/>
    <n v="7"/>
    <n v="548.30999999999995"/>
  </r>
  <r>
    <s v="ORD0077"/>
    <x v="74"/>
    <x v="5"/>
    <x v="1"/>
    <x v="5"/>
    <x v="1"/>
    <x v="3"/>
    <n v="7369.35"/>
    <n v="9"/>
    <n v="670.31"/>
  </r>
  <r>
    <s v="ORD0078"/>
    <x v="75"/>
    <x v="1"/>
    <x v="1"/>
    <x v="2"/>
    <x v="1"/>
    <x v="2"/>
    <n v="6824.39"/>
    <n v="10"/>
    <n v="530.66999999999996"/>
  </r>
  <r>
    <s v="ORD0079"/>
    <x v="76"/>
    <x v="11"/>
    <x v="1"/>
    <x v="3"/>
    <x v="0"/>
    <x v="1"/>
    <n v="7587.17"/>
    <n v="8"/>
    <n v="639.11"/>
  </r>
  <r>
    <s v="ORD0080"/>
    <x v="77"/>
    <x v="9"/>
    <x v="1"/>
    <x v="0"/>
    <x v="0"/>
    <x v="1"/>
    <n v="659.15"/>
    <n v="2"/>
    <n v="241.35"/>
  </r>
  <r>
    <s v="ORD0081"/>
    <x v="78"/>
    <x v="3"/>
    <x v="0"/>
    <x v="5"/>
    <x v="1"/>
    <x v="3"/>
    <n v="2592.84"/>
    <n v="4"/>
    <n v="544.78"/>
  </r>
  <r>
    <s v="ORD0082"/>
    <x v="0"/>
    <x v="0"/>
    <x v="0"/>
    <x v="2"/>
    <x v="1"/>
    <x v="1"/>
    <n v="272.18"/>
    <n v="1"/>
    <n v="210.98"/>
  </r>
  <r>
    <s v="ORD0083"/>
    <x v="79"/>
    <x v="5"/>
    <x v="1"/>
    <x v="1"/>
    <x v="0"/>
    <x v="2"/>
    <n v="2366.4"/>
    <n v="10"/>
    <n v="171.66"/>
  </r>
  <r>
    <s v="ORD0084"/>
    <x v="80"/>
    <x v="6"/>
    <x v="0"/>
    <x v="3"/>
    <x v="0"/>
    <x v="2"/>
    <n v="1758.25"/>
    <n v="3"/>
    <n v="531.73"/>
  </r>
  <r>
    <s v="ORD0085"/>
    <x v="81"/>
    <x v="1"/>
    <x v="0"/>
    <x v="1"/>
    <x v="0"/>
    <x v="2"/>
    <n v="2676.27"/>
    <n v="3"/>
    <n v="647.21"/>
  </r>
  <r>
    <s v="ORD0086"/>
    <x v="82"/>
    <x v="2"/>
    <x v="1"/>
    <x v="3"/>
    <x v="0"/>
    <x v="0"/>
    <n v="3379.61"/>
    <n v="4"/>
    <n v="735.63"/>
  </r>
  <r>
    <s v="ORD0087"/>
    <x v="83"/>
    <x v="9"/>
    <x v="1"/>
    <x v="2"/>
    <x v="1"/>
    <x v="2"/>
    <n v="9521.2099999999991"/>
    <n v="9"/>
    <n v="790.56"/>
  </r>
  <r>
    <s v="ORD0088"/>
    <x v="84"/>
    <x v="2"/>
    <x v="1"/>
    <x v="3"/>
    <x v="0"/>
    <x v="2"/>
    <n v="8047.37"/>
    <n v="8"/>
    <n v="719.82"/>
  </r>
  <r>
    <s v="ORD0089"/>
    <x v="85"/>
    <x v="6"/>
    <x v="0"/>
    <x v="3"/>
    <x v="0"/>
    <x v="2"/>
    <n v="3269.93"/>
    <n v="4"/>
    <n v="675.09"/>
  </r>
  <r>
    <s v="ORD0090"/>
    <x v="86"/>
    <x v="7"/>
    <x v="1"/>
    <x v="5"/>
    <x v="1"/>
    <x v="2"/>
    <n v="1059.47"/>
    <n v="4"/>
    <n v="234.19"/>
  </r>
  <r>
    <s v="ORD0091"/>
    <x v="53"/>
    <x v="7"/>
    <x v="0"/>
    <x v="4"/>
    <x v="1"/>
    <x v="1"/>
    <n v="2127.04"/>
    <n v="6"/>
    <n v="269.37"/>
  </r>
  <r>
    <s v="ORD0092"/>
    <x v="87"/>
    <x v="1"/>
    <x v="0"/>
    <x v="2"/>
    <x v="1"/>
    <x v="1"/>
    <n v="5432.05"/>
    <n v="7"/>
    <n v="561.28"/>
  </r>
  <r>
    <s v="ORD0093"/>
    <x v="88"/>
    <x v="5"/>
    <x v="1"/>
    <x v="1"/>
    <x v="0"/>
    <x v="2"/>
    <n v="3367.67"/>
    <n v="6"/>
    <n v="443.24"/>
  </r>
  <r>
    <s v="ORD0094"/>
    <x v="89"/>
    <x v="5"/>
    <x v="1"/>
    <x v="2"/>
    <x v="1"/>
    <x v="2"/>
    <n v="8396.4500000000007"/>
    <n v="10"/>
    <n v="757.93"/>
  </r>
  <r>
    <s v="ORD0095"/>
    <x v="90"/>
    <x v="8"/>
    <x v="1"/>
    <x v="5"/>
    <x v="1"/>
    <x v="2"/>
    <n v="921.1"/>
    <n v="1"/>
    <n v="755.34"/>
  </r>
  <r>
    <s v="ORD0096"/>
    <x v="91"/>
    <x v="2"/>
    <x v="1"/>
    <x v="3"/>
    <x v="0"/>
    <x v="2"/>
    <n v="8455.77"/>
    <n v="9"/>
    <n v="643.9"/>
  </r>
  <r>
    <s v="ORD0097"/>
    <x v="92"/>
    <x v="7"/>
    <x v="0"/>
    <x v="3"/>
    <x v="0"/>
    <x v="1"/>
    <n v="3504.97"/>
    <n v="7"/>
    <n v="398.8"/>
  </r>
  <r>
    <s v="ORD0098"/>
    <x v="93"/>
    <x v="11"/>
    <x v="0"/>
    <x v="0"/>
    <x v="0"/>
    <x v="2"/>
    <n v="8801.4"/>
    <n v="8"/>
    <n v="737.24"/>
  </r>
  <r>
    <s v="ORD0099"/>
    <x v="94"/>
    <x v="5"/>
    <x v="1"/>
    <x v="5"/>
    <x v="1"/>
    <x v="0"/>
    <n v="5112.42"/>
    <n v="10"/>
    <n v="460.23"/>
  </r>
  <r>
    <s v="ORD0100"/>
    <x v="95"/>
    <x v="8"/>
    <x v="0"/>
    <x v="0"/>
    <x v="0"/>
    <x v="2"/>
    <n v="1558.06"/>
    <n v="8"/>
    <n v="161.75"/>
  </r>
  <r>
    <s v="ORD0101"/>
    <x v="96"/>
    <x v="3"/>
    <x v="1"/>
    <x v="4"/>
    <x v="1"/>
    <x v="1"/>
    <n v="2467.4299999999998"/>
    <n v="6"/>
    <n v="283.25"/>
  </r>
  <r>
    <s v="ORD0102"/>
    <x v="97"/>
    <x v="6"/>
    <x v="0"/>
    <x v="4"/>
    <x v="1"/>
    <x v="2"/>
    <n v="1082.8499999999999"/>
    <n v="2"/>
    <n v="386.84"/>
  </r>
  <r>
    <s v="ORD0103"/>
    <x v="98"/>
    <x v="1"/>
    <x v="0"/>
    <x v="1"/>
    <x v="0"/>
    <x v="3"/>
    <n v="1712.74"/>
    <n v="2"/>
    <n v="629.36"/>
  </r>
  <r>
    <s v="ORD0104"/>
    <x v="99"/>
    <x v="2"/>
    <x v="0"/>
    <x v="1"/>
    <x v="0"/>
    <x v="1"/>
    <n v="603.26"/>
    <n v="1"/>
    <n v="504.64"/>
  </r>
  <r>
    <s v="ORD0105"/>
    <x v="100"/>
    <x v="2"/>
    <x v="1"/>
    <x v="3"/>
    <x v="0"/>
    <x v="0"/>
    <n v="1840.93"/>
    <n v="4"/>
    <n v="382.73"/>
  </r>
  <r>
    <s v="ORD0106"/>
    <x v="68"/>
    <x v="6"/>
    <x v="1"/>
    <x v="4"/>
    <x v="1"/>
    <x v="1"/>
    <n v="10706.26"/>
    <n v="10"/>
    <n v="771.71"/>
  </r>
  <r>
    <s v="ORD0107"/>
    <x v="101"/>
    <x v="3"/>
    <x v="0"/>
    <x v="2"/>
    <x v="1"/>
    <x v="3"/>
    <n v="490.28"/>
    <n v="10"/>
    <n v="40.03"/>
  </r>
  <r>
    <s v="ORD0108"/>
    <x v="102"/>
    <x v="5"/>
    <x v="1"/>
    <x v="0"/>
    <x v="0"/>
    <x v="2"/>
    <n v="436.44"/>
    <n v="4"/>
    <n v="79.28"/>
  </r>
  <r>
    <s v="ORD0109"/>
    <x v="103"/>
    <x v="3"/>
    <x v="0"/>
    <x v="0"/>
    <x v="0"/>
    <x v="1"/>
    <n v="4578.2"/>
    <n v="5"/>
    <n v="683.23"/>
  </r>
  <r>
    <s v="ORD0110"/>
    <x v="104"/>
    <x v="4"/>
    <x v="0"/>
    <x v="1"/>
    <x v="0"/>
    <x v="0"/>
    <n v="3978.32"/>
    <n v="9"/>
    <n v="354.13"/>
  </r>
  <r>
    <s v="ORD0111"/>
    <x v="105"/>
    <x v="0"/>
    <x v="0"/>
    <x v="5"/>
    <x v="1"/>
    <x v="3"/>
    <n v="5288.39"/>
    <n v="7"/>
    <n v="661.42"/>
  </r>
  <r>
    <s v="ORD0112"/>
    <x v="106"/>
    <x v="4"/>
    <x v="1"/>
    <x v="4"/>
    <x v="1"/>
    <x v="2"/>
    <n v="1503.66"/>
    <n v="3"/>
    <n v="359.68"/>
  </r>
  <r>
    <s v="ORD0113"/>
    <x v="107"/>
    <x v="6"/>
    <x v="1"/>
    <x v="0"/>
    <x v="0"/>
    <x v="3"/>
    <n v="7224.44"/>
    <n v="9"/>
    <n v="624.22"/>
  </r>
  <r>
    <s v="ORD0114"/>
    <x v="108"/>
    <x v="9"/>
    <x v="0"/>
    <x v="0"/>
    <x v="0"/>
    <x v="3"/>
    <n v="3031.69"/>
    <n v="4"/>
    <n v="667.97"/>
  </r>
  <r>
    <s v="ORD0115"/>
    <x v="109"/>
    <x v="3"/>
    <x v="1"/>
    <x v="3"/>
    <x v="0"/>
    <x v="1"/>
    <n v="6208.67"/>
    <n v="10"/>
    <n v="496.06"/>
  </r>
  <r>
    <s v="ORD0116"/>
    <x v="110"/>
    <x v="9"/>
    <x v="0"/>
    <x v="1"/>
    <x v="0"/>
    <x v="2"/>
    <n v="1491.4"/>
    <n v="3"/>
    <n v="400.29"/>
  </r>
  <r>
    <s v="ORD0117"/>
    <x v="111"/>
    <x v="7"/>
    <x v="0"/>
    <x v="4"/>
    <x v="1"/>
    <x v="3"/>
    <n v="6862.61"/>
    <n v="10"/>
    <n v="566.91999999999996"/>
  </r>
  <r>
    <s v="ORD0118"/>
    <x v="112"/>
    <x v="10"/>
    <x v="0"/>
    <x v="1"/>
    <x v="0"/>
    <x v="1"/>
    <n v="3014"/>
    <n v="4"/>
    <n v="581.66"/>
  </r>
  <r>
    <s v="ORD0119"/>
    <x v="113"/>
    <x v="7"/>
    <x v="1"/>
    <x v="2"/>
    <x v="1"/>
    <x v="2"/>
    <n v="3272.7"/>
    <n v="8"/>
    <n v="369.58"/>
  </r>
  <r>
    <s v="ORD0120"/>
    <x v="114"/>
    <x v="5"/>
    <x v="1"/>
    <x v="4"/>
    <x v="1"/>
    <x v="1"/>
    <n v="1379.74"/>
    <n v="4"/>
    <n v="258.83999999999997"/>
  </r>
  <r>
    <s v="ORD0121"/>
    <x v="115"/>
    <x v="10"/>
    <x v="1"/>
    <x v="3"/>
    <x v="0"/>
    <x v="3"/>
    <n v="3455.87"/>
    <n v="9"/>
    <n v="278.02"/>
  </r>
  <r>
    <s v="ORD0122"/>
    <x v="116"/>
    <x v="6"/>
    <x v="0"/>
    <x v="4"/>
    <x v="1"/>
    <x v="3"/>
    <n v="537.25"/>
    <n v="4"/>
    <n v="114.11"/>
  </r>
  <r>
    <s v="ORD0123"/>
    <x v="36"/>
    <x v="2"/>
    <x v="0"/>
    <x v="1"/>
    <x v="0"/>
    <x v="1"/>
    <n v="2886.6"/>
    <n v="4"/>
    <n v="596.11"/>
  </r>
  <r>
    <s v="ORD0124"/>
    <x v="117"/>
    <x v="3"/>
    <x v="0"/>
    <x v="5"/>
    <x v="1"/>
    <x v="3"/>
    <n v="1249.68"/>
    <n v="4"/>
    <n v="251.07"/>
  </r>
  <r>
    <s v="ORD0125"/>
    <x v="118"/>
    <x v="4"/>
    <x v="1"/>
    <x v="4"/>
    <x v="1"/>
    <x v="0"/>
    <n v="1194.8800000000001"/>
    <n v="9"/>
    <n v="118.73"/>
  </r>
  <r>
    <s v="ORD0126"/>
    <x v="119"/>
    <x v="4"/>
    <x v="1"/>
    <x v="1"/>
    <x v="0"/>
    <x v="3"/>
    <n v="2175.4"/>
    <n v="3"/>
    <n v="517.54"/>
  </r>
  <r>
    <s v="ORD0127"/>
    <x v="120"/>
    <x v="1"/>
    <x v="1"/>
    <x v="1"/>
    <x v="0"/>
    <x v="0"/>
    <n v="2463.87"/>
    <n v="5"/>
    <n v="386.13"/>
  </r>
  <r>
    <s v="ORD0128"/>
    <x v="97"/>
    <x v="6"/>
    <x v="0"/>
    <x v="2"/>
    <x v="1"/>
    <x v="0"/>
    <n v="981.9"/>
    <n v="8"/>
    <n v="108.99"/>
  </r>
  <r>
    <s v="ORD0129"/>
    <x v="121"/>
    <x v="1"/>
    <x v="1"/>
    <x v="3"/>
    <x v="0"/>
    <x v="0"/>
    <n v="197.07"/>
    <n v="1"/>
    <n v="138.35"/>
  </r>
  <r>
    <s v="ORD0130"/>
    <x v="122"/>
    <x v="6"/>
    <x v="0"/>
    <x v="4"/>
    <x v="1"/>
    <x v="0"/>
    <n v="1153.25"/>
    <n v="2"/>
    <n v="455.3"/>
  </r>
  <r>
    <s v="ORD0131"/>
    <x v="123"/>
    <x v="11"/>
    <x v="1"/>
    <x v="5"/>
    <x v="1"/>
    <x v="1"/>
    <n v="3320.17"/>
    <n v="7"/>
    <n v="371.4"/>
  </r>
  <r>
    <s v="ORD0132"/>
    <x v="124"/>
    <x v="9"/>
    <x v="0"/>
    <x v="5"/>
    <x v="1"/>
    <x v="2"/>
    <n v="6778.39"/>
    <n v="10"/>
    <n v="504.4"/>
  </r>
  <r>
    <s v="ORD0133"/>
    <x v="125"/>
    <x v="1"/>
    <x v="0"/>
    <x v="0"/>
    <x v="0"/>
    <x v="0"/>
    <n v="1025.6600000000001"/>
    <n v="4"/>
    <n v="226.42"/>
  </r>
  <r>
    <s v="ORD0134"/>
    <x v="7"/>
    <x v="2"/>
    <x v="1"/>
    <x v="2"/>
    <x v="1"/>
    <x v="1"/>
    <n v="359.06"/>
    <n v="2"/>
    <n v="142.1"/>
  </r>
  <r>
    <s v="ORD0135"/>
    <x v="126"/>
    <x v="7"/>
    <x v="0"/>
    <x v="0"/>
    <x v="0"/>
    <x v="2"/>
    <n v="277.32"/>
    <n v="1"/>
    <n v="200.55"/>
  </r>
  <r>
    <s v="ORD0136"/>
    <x v="127"/>
    <x v="10"/>
    <x v="0"/>
    <x v="0"/>
    <x v="0"/>
    <x v="2"/>
    <n v="4192.47"/>
    <n v="4"/>
    <n v="740.65"/>
  </r>
  <r>
    <s v="ORD0137"/>
    <x v="115"/>
    <x v="10"/>
    <x v="1"/>
    <x v="0"/>
    <x v="0"/>
    <x v="1"/>
    <n v="1208.9100000000001"/>
    <n v="2"/>
    <n v="444.76"/>
  </r>
  <r>
    <s v="ORD0138"/>
    <x v="128"/>
    <x v="10"/>
    <x v="0"/>
    <x v="4"/>
    <x v="1"/>
    <x v="1"/>
    <n v="182.75"/>
    <n v="1"/>
    <n v="149.41999999999999"/>
  </r>
  <r>
    <s v="ORD0139"/>
    <x v="129"/>
    <x v="10"/>
    <x v="1"/>
    <x v="0"/>
    <x v="0"/>
    <x v="3"/>
    <n v="942.08"/>
    <n v="2"/>
    <n v="385.58"/>
  </r>
  <r>
    <s v="ORD0140"/>
    <x v="130"/>
    <x v="8"/>
    <x v="1"/>
    <x v="3"/>
    <x v="0"/>
    <x v="3"/>
    <n v="4128.41"/>
    <n v="9"/>
    <n v="405.16"/>
  </r>
  <r>
    <s v="ORD0141"/>
    <x v="108"/>
    <x v="9"/>
    <x v="0"/>
    <x v="1"/>
    <x v="0"/>
    <x v="2"/>
    <n v="2446.84"/>
    <n v="10"/>
    <n v="215.29"/>
  </r>
  <r>
    <s v="ORD0142"/>
    <x v="131"/>
    <x v="9"/>
    <x v="1"/>
    <x v="0"/>
    <x v="0"/>
    <x v="0"/>
    <n v="3298.6"/>
    <n v="5"/>
    <n v="469.47"/>
  </r>
  <r>
    <s v="ORD0143"/>
    <x v="132"/>
    <x v="11"/>
    <x v="1"/>
    <x v="2"/>
    <x v="1"/>
    <x v="2"/>
    <n v="6890.55"/>
    <n v="8"/>
    <n v="734.54"/>
  </r>
  <r>
    <s v="ORD0144"/>
    <x v="133"/>
    <x v="7"/>
    <x v="1"/>
    <x v="5"/>
    <x v="1"/>
    <x v="2"/>
    <n v="7994.49"/>
    <n v="8"/>
    <n v="775.86"/>
  </r>
  <r>
    <s v="ORD0145"/>
    <x v="134"/>
    <x v="9"/>
    <x v="0"/>
    <x v="3"/>
    <x v="0"/>
    <x v="3"/>
    <n v="1697.66"/>
    <n v="2"/>
    <n v="689.03"/>
  </r>
  <r>
    <s v="ORD0146"/>
    <x v="135"/>
    <x v="7"/>
    <x v="0"/>
    <x v="0"/>
    <x v="0"/>
    <x v="2"/>
    <n v="6048.5"/>
    <n v="7"/>
    <n v="654.58000000000004"/>
  </r>
  <r>
    <s v="ORD0147"/>
    <x v="136"/>
    <x v="9"/>
    <x v="0"/>
    <x v="3"/>
    <x v="0"/>
    <x v="0"/>
    <n v="2024.9"/>
    <n v="5"/>
    <n v="272.14999999999998"/>
  </r>
  <r>
    <s v="ORD0148"/>
    <x v="137"/>
    <x v="9"/>
    <x v="1"/>
    <x v="3"/>
    <x v="0"/>
    <x v="0"/>
    <n v="3839.58"/>
    <n v="9"/>
    <n v="380.34"/>
  </r>
  <r>
    <s v="ORD0149"/>
    <x v="138"/>
    <x v="6"/>
    <x v="1"/>
    <x v="5"/>
    <x v="1"/>
    <x v="3"/>
    <n v="5703.82"/>
    <n v="8"/>
    <n v="507.82"/>
  </r>
  <r>
    <s v="ORD0150"/>
    <x v="139"/>
    <x v="2"/>
    <x v="1"/>
    <x v="2"/>
    <x v="1"/>
    <x v="3"/>
    <n v="2844.74"/>
    <n v="3"/>
    <n v="743.58"/>
  </r>
  <r>
    <s v="ORD0151"/>
    <x v="140"/>
    <x v="8"/>
    <x v="0"/>
    <x v="0"/>
    <x v="0"/>
    <x v="2"/>
    <n v="1046.69"/>
    <n v="1"/>
    <n v="779.05"/>
  </r>
  <r>
    <s v="ORD0152"/>
    <x v="141"/>
    <x v="9"/>
    <x v="0"/>
    <x v="2"/>
    <x v="1"/>
    <x v="1"/>
    <n v="348.68"/>
    <n v="9"/>
    <n v="30.67"/>
  </r>
  <r>
    <s v="ORD0153"/>
    <x v="142"/>
    <x v="3"/>
    <x v="1"/>
    <x v="2"/>
    <x v="1"/>
    <x v="0"/>
    <n v="1220.1600000000001"/>
    <n v="2"/>
    <n v="525.21"/>
  </r>
  <r>
    <s v="ORD0154"/>
    <x v="143"/>
    <x v="11"/>
    <x v="1"/>
    <x v="0"/>
    <x v="0"/>
    <x v="3"/>
    <n v="2224.48"/>
    <n v="5"/>
    <n v="344.08"/>
  </r>
  <r>
    <s v="ORD0155"/>
    <x v="144"/>
    <x v="3"/>
    <x v="1"/>
    <x v="3"/>
    <x v="0"/>
    <x v="1"/>
    <n v="1406.06"/>
    <n v="9"/>
    <n v="132.82"/>
  </r>
  <r>
    <s v="ORD0156"/>
    <x v="145"/>
    <x v="10"/>
    <x v="0"/>
    <x v="5"/>
    <x v="1"/>
    <x v="1"/>
    <n v="4488.8599999999997"/>
    <n v="5"/>
    <n v="622.69000000000005"/>
  </r>
  <r>
    <s v="ORD0157"/>
    <x v="146"/>
    <x v="0"/>
    <x v="0"/>
    <x v="4"/>
    <x v="1"/>
    <x v="3"/>
    <n v="4206.82"/>
    <n v="5"/>
    <n v="586.32000000000005"/>
  </r>
  <r>
    <s v="ORD0158"/>
    <x v="147"/>
    <x v="11"/>
    <x v="0"/>
    <x v="5"/>
    <x v="1"/>
    <x v="2"/>
    <n v="4358.83"/>
    <n v="8"/>
    <n v="440.09"/>
  </r>
  <r>
    <s v="ORD0159"/>
    <x v="148"/>
    <x v="3"/>
    <x v="1"/>
    <x v="5"/>
    <x v="1"/>
    <x v="2"/>
    <n v="6252.39"/>
    <n v="6"/>
    <n v="698.29"/>
  </r>
  <r>
    <s v="ORD0160"/>
    <x v="149"/>
    <x v="1"/>
    <x v="0"/>
    <x v="2"/>
    <x v="1"/>
    <x v="2"/>
    <n v="528.79"/>
    <n v="7"/>
    <n v="54.04"/>
  </r>
  <r>
    <s v="ORD0161"/>
    <x v="150"/>
    <x v="0"/>
    <x v="1"/>
    <x v="0"/>
    <x v="0"/>
    <x v="2"/>
    <n v="1359.04"/>
    <n v="3"/>
    <n v="406.36"/>
  </r>
  <r>
    <s v="ORD0162"/>
    <x v="117"/>
    <x v="3"/>
    <x v="0"/>
    <x v="5"/>
    <x v="1"/>
    <x v="3"/>
    <n v="1145.3399999999999"/>
    <n v="8"/>
    <n v="97.78"/>
  </r>
  <r>
    <s v="ORD0163"/>
    <x v="151"/>
    <x v="5"/>
    <x v="1"/>
    <x v="1"/>
    <x v="0"/>
    <x v="1"/>
    <n v="332.12"/>
    <n v="3"/>
    <n v="78.37"/>
  </r>
  <r>
    <s v="ORD0164"/>
    <x v="152"/>
    <x v="6"/>
    <x v="1"/>
    <x v="4"/>
    <x v="1"/>
    <x v="3"/>
    <n v="5313.45"/>
    <n v="7"/>
    <n v="526.87"/>
  </r>
  <r>
    <s v="ORD0165"/>
    <x v="153"/>
    <x v="9"/>
    <x v="0"/>
    <x v="0"/>
    <x v="0"/>
    <x v="2"/>
    <n v="6244.51"/>
    <n v="8"/>
    <n v="700.46"/>
  </r>
  <r>
    <s v="ORD0166"/>
    <x v="154"/>
    <x v="7"/>
    <x v="1"/>
    <x v="1"/>
    <x v="0"/>
    <x v="1"/>
    <n v="5580.77"/>
    <n v="5"/>
    <n v="797.99"/>
  </r>
  <r>
    <s v="ORD0167"/>
    <x v="155"/>
    <x v="7"/>
    <x v="1"/>
    <x v="3"/>
    <x v="0"/>
    <x v="0"/>
    <n v="1008.6"/>
    <n v="2"/>
    <n v="366.07"/>
  </r>
  <r>
    <s v="ORD0168"/>
    <x v="110"/>
    <x v="9"/>
    <x v="0"/>
    <x v="1"/>
    <x v="0"/>
    <x v="0"/>
    <n v="311.02"/>
    <n v="1"/>
    <n v="248.83"/>
  </r>
  <r>
    <s v="ORD0169"/>
    <x v="156"/>
    <x v="11"/>
    <x v="1"/>
    <x v="2"/>
    <x v="1"/>
    <x v="1"/>
    <n v="4576.8500000000004"/>
    <n v="7"/>
    <n v="461.42"/>
  </r>
  <r>
    <s v="ORD0170"/>
    <x v="157"/>
    <x v="10"/>
    <x v="0"/>
    <x v="2"/>
    <x v="1"/>
    <x v="1"/>
    <n v="9425.08"/>
    <n v="10"/>
    <n v="699.25"/>
  </r>
  <r>
    <s v="ORD0171"/>
    <x v="16"/>
    <x v="1"/>
    <x v="1"/>
    <x v="2"/>
    <x v="1"/>
    <x v="2"/>
    <n v="817.61"/>
    <n v="3"/>
    <n v="201.11"/>
  </r>
  <r>
    <s v="ORD0172"/>
    <x v="158"/>
    <x v="9"/>
    <x v="1"/>
    <x v="3"/>
    <x v="0"/>
    <x v="3"/>
    <n v="927.47"/>
    <n v="1"/>
    <n v="721.15"/>
  </r>
  <r>
    <s v="ORD0173"/>
    <x v="159"/>
    <x v="10"/>
    <x v="0"/>
    <x v="4"/>
    <x v="1"/>
    <x v="1"/>
    <n v="9057.44"/>
    <n v="8"/>
    <n v="757.28"/>
  </r>
  <r>
    <s v="ORD0174"/>
    <x v="160"/>
    <x v="4"/>
    <x v="1"/>
    <x v="4"/>
    <x v="1"/>
    <x v="2"/>
    <n v="2297.21"/>
    <n v="5"/>
    <n v="376.33"/>
  </r>
  <r>
    <s v="ORD0175"/>
    <x v="161"/>
    <x v="3"/>
    <x v="0"/>
    <x v="3"/>
    <x v="0"/>
    <x v="2"/>
    <n v="1579.15"/>
    <n v="4"/>
    <n v="317.45999999999998"/>
  </r>
  <r>
    <s v="ORD0176"/>
    <x v="162"/>
    <x v="0"/>
    <x v="0"/>
    <x v="4"/>
    <x v="1"/>
    <x v="3"/>
    <n v="2173.4299999999998"/>
    <n v="7"/>
    <n v="234.09"/>
  </r>
  <r>
    <s v="ORD0177"/>
    <x v="68"/>
    <x v="6"/>
    <x v="1"/>
    <x v="0"/>
    <x v="0"/>
    <x v="0"/>
    <n v="7827.33"/>
    <n v="8"/>
    <n v="669.61"/>
  </r>
  <r>
    <s v="ORD0178"/>
    <x v="81"/>
    <x v="1"/>
    <x v="0"/>
    <x v="2"/>
    <x v="1"/>
    <x v="3"/>
    <n v="2765.79"/>
    <n v="4"/>
    <n v="504.3"/>
  </r>
  <r>
    <s v="ORD0179"/>
    <x v="163"/>
    <x v="7"/>
    <x v="1"/>
    <x v="0"/>
    <x v="0"/>
    <x v="1"/>
    <n v="1968.93"/>
    <n v="2"/>
    <n v="724.65"/>
  </r>
  <r>
    <s v="ORD0180"/>
    <x v="164"/>
    <x v="5"/>
    <x v="0"/>
    <x v="4"/>
    <x v="1"/>
    <x v="2"/>
    <n v="3510.6"/>
    <n v="10"/>
    <n v="304.58999999999997"/>
  </r>
  <r>
    <s v="ORD0181"/>
    <x v="165"/>
    <x v="10"/>
    <x v="1"/>
    <x v="4"/>
    <x v="1"/>
    <x v="3"/>
    <n v="749.54"/>
    <n v="3"/>
    <n v="176.62"/>
  </r>
  <r>
    <s v="ORD0182"/>
    <x v="166"/>
    <x v="11"/>
    <x v="0"/>
    <x v="4"/>
    <x v="1"/>
    <x v="3"/>
    <n v="5415.38"/>
    <n v="5"/>
    <n v="732.96"/>
  </r>
  <r>
    <s v="ORD0183"/>
    <x v="167"/>
    <x v="3"/>
    <x v="0"/>
    <x v="4"/>
    <x v="1"/>
    <x v="3"/>
    <n v="7132.63"/>
    <n v="8"/>
    <n v="771.06"/>
  </r>
  <r>
    <s v="ORD0184"/>
    <x v="82"/>
    <x v="2"/>
    <x v="1"/>
    <x v="2"/>
    <x v="1"/>
    <x v="2"/>
    <n v="682.55"/>
    <n v="6"/>
    <n v="90.44"/>
  </r>
  <r>
    <s v="ORD0185"/>
    <x v="96"/>
    <x v="3"/>
    <x v="1"/>
    <x v="4"/>
    <x v="1"/>
    <x v="0"/>
    <n v="4474.8599999999997"/>
    <n v="6"/>
    <n v="544.80999999999995"/>
  </r>
  <r>
    <s v="ORD0186"/>
    <x v="168"/>
    <x v="7"/>
    <x v="1"/>
    <x v="5"/>
    <x v="1"/>
    <x v="2"/>
    <n v="748.41"/>
    <n v="6"/>
    <n v="104.51"/>
  </r>
  <r>
    <s v="ORD0187"/>
    <x v="169"/>
    <x v="6"/>
    <x v="1"/>
    <x v="1"/>
    <x v="0"/>
    <x v="3"/>
    <n v="2844.66"/>
    <n v="4"/>
    <n v="525.16999999999996"/>
  </r>
  <r>
    <s v="ORD0188"/>
    <x v="170"/>
    <x v="7"/>
    <x v="1"/>
    <x v="3"/>
    <x v="0"/>
    <x v="3"/>
    <n v="868.87"/>
    <n v="7"/>
    <n v="111.01"/>
  </r>
  <r>
    <s v="ORD0189"/>
    <x v="171"/>
    <x v="8"/>
    <x v="1"/>
    <x v="1"/>
    <x v="0"/>
    <x v="3"/>
    <n v="278.79000000000002"/>
    <n v="2"/>
    <n v="95.81"/>
  </r>
  <r>
    <s v="ORD0190"/>
    <x v="172"/>
    <x v="3"/>
    <x v="1"/>
    <x v="2"/>
    <x v="1"/>
    <x v="2"/>
    <n v="4552.09"/>
    <n v="6"/>
    <n v="542.98"/>
  </r>
  <r>
    <s v="ORD0191"/>
    <x v="173"/>
    <x v="1"/>
    <x v="1"/>
    <x v="5"/>
    <x v="1"/>
    <x v="2"/>
    <n v="2903.53"/>
    <n v="3"/>
    <n v="710.62"/>
  </r>
  <r>
    <s v="ORD0192"/>
    <x v="111"/>
    <x v="7"/>
    <x v="0"/>
    <x v="3"/>
    <x v="0"/>
    <x v="2"/>
    <n v="662.79"/>
    <n v="1"/>
    <n v="558.41999999999996"/>
  </r>
  <r>
    <s v="ORD0193"/>
    <x v="174"/>
    <x v="0"/>
    <x v="1"/>
    <x v="3"/>
    <x v="0"/>
    <x v="1"/>
    <n v="1957.99"/>
    <n v="2"/>
    <n v="785.12"/>
  </r>
  <r>
    <s v="ORD0194"/>
    <x v="35"/>
    <x v="10"/>
    <x v="0"/>
    <x v="0"/>
    <x v="0"/>
    <x v="3"/>
    <n v="2448.56"/>
    <n v="7"/>
    <n v="235.19"/>
  </r>
  <r>
    <s v="ORD0195"/>
    <x v="175"/>
    <x v="9"/>
    <x v="1"/>
    <x v="3"/>
    <x v="0"/>
    <x v="0"/>
    <n v="2787.66"/>
    <n v="4"/>
    <n v="520.53"/>
  </r>
  <r>
    <s v="ORD0196"/>
    <x v="176"/>
    <x v="4"/>
    <x v="0"/>
    <x v="1"/>
    <x v="0"/>
    <x v="0"/>
    <n v="4477.9799999999996"/>
    <n v="4"/>
    <n v="791.28"/>
  </r>
  <r>
    <s v="ORD0197"/>
    <x v="177"/>
    <x v="2"/>
    <x v="1"/>
    <x v="2"/>
    <x v="1"/>
    <x v="0"/>
    <n v="2721.49"/>
    <n v="4"/>
    <n v="477.38"/>
  </r>
  <r>
    <s v="ORD0198"/>
    <x v="178"/>
    <x v="11"/>
    <x v="0"/>
    <x v="2"/>
    <x v="1"/>
    <x v="3"/>
    <n v="320.57"/>
    <n v="10"/>
    <n v="22.21"/>
  </r>
  <r>
    <s v="ORD0199"/>
    <x v="179"/>
    <x v="2"/>
    <x v="1"/>
    <x v="2"/>
    <x v="1"/>
    <x v="1"/>
    <n v="3676.95"/>
    <n v="5"/>
    <n v="642.84"/>
  </r>
  <r>
    <s v="ORD0200"/>
    <x v="180"/>
    <x v="0"/>
    <x v="0"/>
    <x v="1"/>
    <x v="0"/>
    <x v="1"/>
    <n v="4562.1400000000003"/>
    <n v="6"/>
    <n v="636.19000000000005"/>
  </r>
  <r>
    <s v="ORD0201"/>
    <x v="181"/>
    <x v="11"/>
    <x v="0"/>
    <x v="4"/>
    <x v="1"/>
    <x v="0"/>
    <n v="425.08"/>
    <n v="5"/>
    <n v="60.87"/>
  </r>
  <r>
    <s v="ORD0202"/>
    <x v="182"/>
    <x v="10"/>
    <x v="0"/>
    <x v="5"/>
    <x v="1"/>
    <x v="0"/>
    <n v="3681.17"/>
    <n v="8"/>
    <n v="369.65"/>
  </r>
  <r>
    <s v="ORD0203"/>
    <x v="183"/>
    <x v="3"/>
    <x v="1"/>
    <x v="5"/>
    <x v="1"/>
    <x v="0"/>
    <n v="2335.77"/>
    <n v="9"/>
    <n v="192.81"/>
  </r>
  <r>
    <s v="ORD0204"/>
    <x v="48"/>
    <x v="3"/>
    <x v="1"/>
    <x v="0"/>
    <x v="0"/>
    <x v="3"/>
    <n v="87.11"/>
    <n v="1"/>
    <n v="67.44"/>
  </r>
  <r>
    <s v="ORD0205"/>
    <x v="184"/>
    <x v="4"/>
    <x v="1"/>
    <x v="3"/>
    <x v="0"/>
    <x v="2"/>
    <n v="1178.1600000000001"/>
    <n v="2"/>
    <n v="402.41"/>
  </r>
  <r>
    <s v="ORD0206"/>
    <x v="185"/>
    <x v="9"/>
    <x v="0"/>
    <x v="1"/>
    <x v="0"/>
    <x v="0"/>
    <n v="1561.2"/>
    <n v="10"/>
    <n v="135.69999999999999"/>
  </r>
  <r>
    <s v="ORD0207"/>
    <x v="186"/>
    <x v="0"/>
    <x v="1"/>
    <x v="5"/>
    <x v="1"/>
    <x v="3"/>
    <n v="5559.47"/>
    <n v="10"/>
    <n v="433.83"/>
  </r>
  <r>
    <s v="ORD0208"/>
    <x v="187"/>
    <x v="3"/>
    <x v="0"/>
    <x v="5"/>
    <x v="1"/>
    <x v="2"/>
    <n v="1864.19"/>
    <n v="2"/>
    <n v="685.18"/>
  </r>
  <r>
    <s v="ORD0209"/>
    <x v="188"/>
    <x v="10"/>
    <x v="1"/>
    <x v="5"/>
    <x v="1"/>
    <x v="1"/>
    <n v="7215.62"/>
    <n v="8"/>
    <n v="712.71"/>
  </r>
  <r>
    <s v="ORD0210"/>
    <x v="165"/>
    <x v="10"/>
    <x v="1"/>
    <x v="3"/>
    <x v="0"/>
    <x v="2"/>
    <n v="646.29"/>
    <n v="2"/>
    <n v="263.79000000000002"/>
  </r>
  <r>
    <s v="ORD0211"/>
    <x v="189"/>
    <x v="11"/>
    <x v="0"/>
    <x v="4"/>
    <x v="1"/>
    <x v="3"/>
    <n v="829.37"/>
    <n v="8"/>
    <n v="72.36"/>
  </r>
  <r>
    <s v="ORD0212"/>
    <x v="190"/>
    <x v="3"/>
    <x v="0"/>
    <x v="1"/>
    <x v="0"/>
    <x v="2"/>
    <n v="5183.17"/>
    <n v="6"/>
    <n v="653.17999999999995"/>
  </r>
  <r>
    <s v="ORD0213"/>
    <x v="191"/>
    <x v="9"/>
    <x v="1"/>
    <x v="5"/>
    <x v="1"/>
    <x v="3"/>
    <n v="986.87"/>
    <n v="2"/>
    <n v="340.43"/>
  </r>
  <r>
    <s v="ORD0214"/>
    <x v="192"/>
    <x v="7"/>
    <x v="0"/>
    <x v="3"/>
    <x v="0"/>
    <x v="0"/>
    <n v="3010.09"/>
    <n v="10"/>
    <n v="263.70999999999998"/>
  </r>
  <r>
    <s v="ORD0215"/>
    <x v="193"/>
    <x v="11"/>
    <x v="0"/>
    <x v="5"/>
    <x v="1"/>
    <x v="1"/>
    <n v="1782.71"/>
    <n v="8"/>
    <n v="194.91"/>
  </r>
  <r>
    <s v="ORD0216"/>
    <x v="167"/>
    <x v="3"/>
    <x v="0"/>
    <x v="5"/>
    <x v="1"/>
    <x v="3"/>
    <n v="3328.14"/>
    <n v="5"/>
    <n v="467.8"/>
  </r>
  <r>
    <s v="ORD0217"/>
    <x v="11"/>
    <x v="6"/>
    <x v="1"/>
    <x v="5"/>
    <x v="1"/>
    <x v="0"/>
    <n v="257.45999999999998"/>
    <n v="5"/>
    <n v="42.58"/>
  </r>
  <r>
    <s v="ORD0218"/>
    <x v="194"/>
    <x v="4"/>
    <x v="0"/>
    <x v="4"/>
    <x v="1"/>
    <x v="3"/>
    <n v="186.9"/>
    <n v="1"/>
    <n v="161.5"/>
  </r>
  <r>
    <s v="ORD0219"/>
    <x v="145"/>
    <x v="10"/>
    <x v="0"/>
    <x v="0"/>
    <x v="0"/>
    <x v="2"/>
    <n v="2670.59"/>
    <n v="3"/>
    <n v="597.96"/>
  </r>
  <r>
    <s v="ORD0220"/>
    <x v="195"/>
    <x v="0"/>
    <x v="1"/>
    <x v="1"/>
    <x v="0"/>
    <x v="1"/>
    <n v="3043.34"/>
    <n v="7"/>
    <n v="373.84"/>
  </r>
  <r>
    <s v="ORD0221"/>
    <x v="196"/>
    <x v="1"/>
    <x v="1"/>
    <x v="4"/>
    <x v="1"/>
    <x v="3"/>
    <n v="967.12"/>
    <n v="10"/>
    <n v="86.27"/>
  </r>
  <r>
    <s v="ORD0222"/>
    <x v="197"/>
    <x v="9"/>
    <x v="1"/>
    <x v="2"/>
    <x v="1"/>
    <x v="0"/>
    <n v="633.91"/>
    <n v="2"/>
    <n v="232.24"/>
  </r>
  <r>
    <s v="ORD0223"/>
    <x v="79"/>
    <x v="5"/>
    <x v="1"/>
    <x v="3"/>
    <x v="0"/>
    <x v="2"/>
    <n v="1227.56"/>
    <n v="5"/>
    <n v="188.14"/>
  </r>
  <r>
    <s v="ORD0224"/>
    <x v="198"/>
    <x v="3"/>
    <x v="0"/>
    <x v="4"/>
    <x v="1"/>
    <x v="2"/>
    <n v="3670.83"/>
    <n v="5"/>
    <n v="549.01"/>
  </r>
  <r>
    <s v="ORD0225"/>
    <x v="199"/>
    <x v="5"/>
    <x v="0"/>
    <x v="5"/>
    <x v="1"/>
    <x v="3"/>
    <n v="1759.39"/>
    <n v="4"/>
    <n v="328.31"/>
  </r>
  <r>
    <s v="ORD0226"/>
    <x v="200"/>
    <x v="9"/>
    <x v="0"/>
    <x v="1"/>
    <x v="0"/>
    <x v="1"/>
    <n v="3477.78"/>
    <n v="4"/>
    <n v="618.53"/>
  </r>
  <r>
    <s v="ORD0227"/>
    <x v="201"/>
    <x v="8"/>
    <x v="0"/>
    <x v="4"/>
    <x v="1"/>
    <x v="3"/>
    <n v="519.03"/>
    <n v="1"/>
    <n v="407.96"/>
  </r>
  <r>
    <s v="ORD0228"/>
    <x v="202"/>
    <x v="11"/>
    <x v="1"/>
    <x v="2"/>
    <x v="1"/>
    <x v="2"/>
    <n v="2351.83"/>
    <n v="4"/>
    <n v="410.2"/>
  </r>
  <r>
    <s v="ORD0229"/>
    <x v="102"/>
    <x v="5"/>
    <x v="1"/>
    <x v="4"/>
    <x v="1"/>
    <x v="0"/>
    <n v="462.53"/>
    <n v="1"/>
    <n v="360.25"/>
  </r>
  <r>
    <s v="ORD0230"/>
    <x v="203"/>
    <x v="1"/>
    <x v="1"/>
    <x v="1"/>
    <x v="0"/>
    <x v="3"/>
    <n v="4526.0600000000004"/>
    <n v="7"/>
    <n v="467.25"/>
  </r>
  <r>
    <s v="ORD0231"/>
    <x v="167"/>
    <x v="3"/>
    <x v="0"/>
    <x v="3"/>
    <x v="0"/>
    <x v="3"/>
    <n v="312.26"/>
    <n v="7"/>
    <n v="36.270000000000003"/>
  </r>
  <r>
    <s v="ORD0232"/>
    <x v="160"/>
    <x v="4"/>
    <x v="1"/>
    <x v="5"/>
    <x v="1"/>
    <x v="2"/>
    <n v="765.54"/>
    <n v="6"/>
    <n v="88.74"/>
  </r>
  <r>
    <s v="ORD0233"/>
    <x v="204"/>
    <x v="1"/>
    <x v="1"/>
    <x v="2"/>
    <x v="1"/>
    <x v="2"/>
    <n v="3775.96"/>
    <n v="7"/>
    <n v="428.69"/>
  </r>
  <r>
    <s v="ORD0234"/>
    <x v="205"/>
    <x v="1"/>
    <x v="0"/>
    <x v="4"/>
    <x v="1"/>
    <x v="3"/>
    <n v="4257.95"/>
    <n v="6"/>
    <n v="627.71"/>
  </r>
  <r>
    <s v="ORD0235"/>
    <x v="156"/>
    <x v="11"/>
    <x v="1"/>
    <x v="0"/>
    <x v="0"/>
    <x v="0"/>
    <n v="2173.79"/>
    <n v="9"/>
    <n v="171.24"/>
  </r>
  <r>
    <s v="ORD0236"/>
    <x v="206"/>
    <x v="1"/>
    <x v="0"/>
    <x v="4"/>
    <x v="1"/>
    <x v="1"/>
    <n v="316.49"/>
    <n v="2"/>
    <n v="134.22999999999999"/>
  </r>
  <r>
    <s v="ORD0237"/>
    <x v="207"/>
    <x v="9"/>
    <x v="1"/>
    <x v="5"/>
    <x v="1"/>
    <x v="1"/>
    <n v="445.77"/>
    <n v="2"/>
    <n v="158.16999999999999"/>
  </r>
  <r>
    <s v="ORD0238"/>
    <x v="100"/>
    <x v="2"/>
    <x v="1"/>
    <x v="3"/>
    <x v="0"/>
    <x v="2"/>
    <n v="5439.95"/>
    <n v="10"/>
    <n v="370.15"/>
  </r>
  <r>
    <s v="ORD0239"/>
    <x v="208"/>
    <x v="7"/>
    <x v="1"/>
    <x v="5"/>
    <x v="1"/>
    <x v="3"/>
    <n v="931.73"/>
    <n v="6"/>
    <n v="137.75"/>
  </r>
  <r>
    <s v="ORD0240"/>
    <x v="209"/>
    <x v="7"/>
    <x v="0"/>
    <x v="3"/>
    <x v="0"/>
    <x v="3"/>
    <n v="831.4"/>
    <n v="10"/>
    <n v="63.81"/>
  </r>
  <r>
    <s v="ORD0241"/>
    <x v="183"/>
    <x v="3"/>
    <x v="1"/>
    <x v="4"/>
    <x v="1"/>
    <x v="2"/>
    <n v="92.22"/>
    <n v="1"/>
    <n v="64.37"/>
  </r>
  <r>
    <s v="ORD0242"/>
    <x v="210"/>
    <x v="6"/>
    <x v="1"/>
    <x v="1"/>
    <x v="0"/>
    <x v="0"/>
    <n v="5339.66"/>
    <n v="10"/>
    <n v="415.51"/>
  </r>
  <r>
    <s v="ORD0243"/>
    <x v="211"/>
    <x v="3"/>
    <x v="1"/>
    <x v="5"/>
    <x v="1"/>
    <x v="0"/>
    <n v="6492.35"/>
    <n v="10"/>
    <n v="528.42999999999995"/>
  </r>
  <r>
    <s v="ORD0244"/>
    <x v="212"/>
    <x v="10"/>
    <x v="0"/>
    <x v="3"/>
    <x v="0"/>
    <x v="1"/>
    <n v="1176.24"/>
    <n v="8"/>
    <n v="100.73"/>
  </r>
  <r>
    <s v="ORD0245"/>
    <x v="213"/>
    <x v="8"/>
    <x v="1"/>
    <x v="4"/>
    <x v="1"/>
    <x v="0"/>
    <n v="209.66"/>
    <n v="3"/>
    <n v="50.53"/>
  </r>
  <r>
    <s v="ORD0246"/>
    <x v="70"/>
    <x v="0"/>
    <x v="1"/>
    <x v="3"/>
    <x v="0"/>
    <x v="1"/>
    <n v="5541.86"/>
    <n v="6"/>
    <n v="735.99"/>
  </r>
  <r>
    <s v="ORD0247"/>
    <x v="154"/>
    <x v="7"/>
    <x v="1"/>
    <x v="4"/>
    <x v="1"/>
    <x v="0"/>
    <n v="487.5"/>
    <n v="6"/>
    <n v="71.41"/>
  </r>
  <r>
    <s v="ORD0248"/>
    <x v="214"/>
    <x v="7"/>
    <x v="0"/>
    <x v="0"/>
    <x v="0"/>
    <x v="2"/>
    <n v="3982.34"/>
    <n v="5"/>
    <n v="584.51"/>
  </r>
  <r>
    <s v="ORD0249"/>
    <x v="176"/>
    <x v="4"/>
    <x v="0"/>
    <x v="5"/>
    <x v="1"/>
    <x v="1"/>
    <n v="1097.68"/>
    <n v="2"/>
    <n v="474.54"/>
  </r>
  <r>
    <s v="ORD0250"/>
    <x v="207"/>
    <x v="9"/>
    <x v="1"/>
    <x v="4"/>
    <x v="1"/>
    <x v="3"/>
    <n v="1167.79"/>
    <n v="7"/>
    <n v="120.58"/>
  </r>
  <r>
    <s v="ORD0251"/>
    <x v="215"/>
    <x v="2"/>
    <x v="1"/>
    <x v="1"/>
    <x v="0"/>
    <x v="3"/>
    <n v="4498.8100000000004"/>
    <n v="7"/>
    <n v="521.91999999999996"/>
  </r>
  <r>
    <s v="ORD0252"/>
    <x v="113"/>
    <x v="7"/>
    <x v="1"/>
    <x v="2"/>
    <x v="1"/>
    <x v="0"/>
    <n v="3229.24"/>
    <n v="7"/>
    <n v="416.62"/>
  </r>
  <r>
    <s v="ORD0253"/>
    <x v="216"/>
    <x v="1"/>
    <x v="0"/>
    <x v="4"/>
    <x v="1"/>
    <x v="1"/>
    <n v="5896.59"/>
    <n v="6"/>
    <n v="759.18"/>
  </r>
  <r>
    <s v="ORD0254"/>
    <x v="193"/>
    <x v="11"/>
    <x v="0"/>
    <x v="2"/>
    <x v="1"/>
    <x v="1"/>
    <n v="709.66"/>
    <n v="2"/>
    <n v="250.72"/>
  </r>
  <r>
    <s v="ORD0255"/>
    <x v="217"/>
    <x v="9"/>
    <x v="1"/>
    <x v="5"/>
    <x v="1"/>
    <x v="0"/>
    <n v="5687.31"/>
    <n v="6"/>
    <n v="703.59"/>
  </r>
  <r>
    <s v="ORD0256"/>
    <x v="218"/>
    <x v="11"/>
    <x v="0"/>
    <x v="5"/>
    <x v="1"/>
    <x v="2"/>
    <n v="665.41"/>
    <n v="3"/>
    <n v="161.06"/>
  </r>
  <r>
    <s v="ORD0257"/>
    <x v="219"/>
    <x v="10"/>
    <x v="1"/>
    <x v="5"/>
    <x v="1"/>
    <x v="1"/>
    <n v="466.63"/>
    <n v="1"/>
    <n v="340.47"/>
  </r>
  <r>
    <s v="ORD0258"/>
    <x v="220"/>
    <x v="6"/>
    <x v="1"/>
    <x v="2"/>
    <x v="1"/>
    <x v="2"/>
    <n v="4289.1099999999997"/>
    <n v="5"/>
    <n v="606.87"/>
  </r>
  <r>
    <s v="ORD0259"/>
    <x v="221"/>
    <x v="9"/>
    <x v="0"/>
    <x v="2"/>
    <x v="1"/>
    <x v="1"/>
    <n v="6831.06"/>
    <n v="8"/>
    <n v="725.1"/>
  </r>
  <r>
    <s v="ORD0260"/>
    <x v="142"/>
    <x v="3"/>
    <x v="1"/>
    <x v="0"/>
    <x v="0"/>
    <x v="2"/>
    <n v="4078.75"/>
    <n v="5"/>
    <n v="626.94000000000005"/>
  </r>
  <r>
    <s v="ORD0261"/>
    <x v="99"/>
    <x v="2"/>
    <x v="0"/>
    <x v="3"/>
    <x v="0"/>
    <x v="1"/>
    <n v="1535.4"/>
    <n v="10"/>
    <n v="127.95"/>
  </r>
  <r>
    <s v="ORD0262"/>
    <x v="222"/>
    <x v="0"/>
    <x v="1"/>
    <x v="0"/>
    <x v="0"/>
    <x v="2"/>
    <n v="9330.2099999999991"/>
    <n v="9"/>
    <n v="748.75"/>
  </r>
  <r>
    <s v="ORD0263"/>
    <x v="223"/>
    <x v="7"/>
    <x v="0"/>
    <x v="5"/>
    <x v="1"/>
    <x v="0"/>
    <n v="1487.77"/>
    <n v="2"/>
    <n v="615.23"/>
  </r>
  <r>
    <s v="ORD0264"/>
    <x v="224"/>
    <x v="10"/>
    <x v="1"/>
    <x v="5"/>
    <x v="1"/>
    <x v="1"/>
    <n v="1802.72"/>
    <n v="2"/>
    <n v="758.2"/>
  </r>
  <r>
    <s v="ORD0265"/>
    <x v="225"/>
    <x v="0"/>
    <x v="0"/>
    <x v="3"/>
    <x v="0"/>
    <x v="3"/>
    <n v="560.36"/>
    <n v="7"/>
    <n v="61.54"/>
  </r>
  <r>
    <s v="ORD0266"/>
    <x v="226"/>
    <x v="10"/>
    <x v="0"/>
    <x v="2"/>
    <x v="1"/>
    <x v="2"/>
    <n v="1437.18"/>
    <n v="6"/>
    <n v="195.14"/>
  </r>
  <r>
    <s v="ORD0267"/>
    <x v="227"/>
    <x v="8"/>
    <x v="0"/>
    <x v="1"/>
    <x v="0"/>
    <x v="3"/>
    <n v="219.52"/>
    <n v="3"/>
    <n v="49.88"/>
  </r>
  <r>
    <s v="ORD0268"/>
    <x v="228"/>
    <x v="4"/>
    <x v="1"/>
    <x v="3"/>
    <x v="0"/>
    <x v="1"/>
    <n v="3261.42"/>
    <n v="8"/>
    <n v="369.91"/>
  </r>
  <r>
    <s v="ORD0269"/>
    <x v="229"/>
    <x v="6"/>
    <x v="0"/>
    <x v="1"/>
    <x v="0"/>
    <x v="0"/>
    <n v="3543.02"/>
    <n v="4"/>
    <n v="671.27"/>
  </r>
  <r>
    <s v="ORD0270"/>
    <x v="198"/>
    <x v="3"/>
    <x v="0"/>
    <x v="0"/>
    <x v="0"/>
    <x v="2"/>
    <n v="1179.53"/>
    <n v="5"/>
    <n v="205.36"/>
  </r>
  <r>
    <s v="ORD0271"/>
    <x v="22"/>
    <x v="7"/>
    <x v="1"/>
    <x v="2"/>
    <x v="1"/>
    <x v="2"/>
    <n v="4309.0200000000004"/>
    <n v="10"/>
    <n v="376.55"/>
  </r>
  <r>
    <s v="ORD0272"/>
    <x v="230"/>
    <x v="7"/>
    <x v="1"/>
    <x v="3"/>
    <x v="0"/>
    <x v="0"/>
    <n v="5850.55"/>
    <n v="9"/>
    <n v="468.54"/>
  </r>
  <r>
    <s v="ORD0273"/>
    <x v="231"/>
    <x v="0"/>
    <x v="0"/>
    <x v="4"/>
    <x v="1"/>
    <x v="2"/>
    <n v="3921.04"/>
    <n v="10"/>
    <n v="295.2"/>
  </r>
  <r>
    <s v="ORD0274"/>
    <x v="232"/>
    <x v="11"/>
    <x v="1"/>
    <x v="2"/>
    <x v="1"/>
    <x v="0"/>
    <n v="572.30999999999995"/>
    <n v="6"/>
    <n v="72.790000000000006"/>
  </r>
  <r>
    <s v="ORD0275"/>
    <x v="233"/>
    <x v="5"/>
    <x v="1"/>
    <x v="5"/>
    <x v="1"/>
    <x v="0"/>
    <n v="541.65"/>
    <n v="8"/>
    <n v="53.96"/>
  </r>
  <r>
    <s v="ORD0276"/>
    <x v="234"/>
    <x v="0"/>
    <x v="0"/>
    <x v="4"/>
    <x v="1"/>
    <x v="3"/>
    <n v="4716.8500000000004"/>
    <n v="6"/>
    <n v="635.04999999999995"/>
  </r>
  <r>
    <s v="ORD0277"/>
    <x v="235"/>
    <x v="1"/>
    <x v="1"/>
    <x v="0"/>
    <x v="0"/>
    <x v="0"/>
    <n v="923.69"/>
    <n v="6"/>
    <n v="124.06"/>
  </r>
  <r>
    <s v="ORD0278"/>
    <x v="236"/>
    <x v="4"/>
    <x v="1"/>
    <x v="4"/>
    <x v="1"/>
    <x v="1"/>
    <n v="8110.48"/>
    <n v="8"/>
    <n v="785.04"/>
  </r>
  <r>
    <s v="ORD0279"/>
    <x v="237"/>
    <x v="10"/>
    <x v="0"/>
    <x v="2"/>
    <x v="1"/>
    <x v="1"/>
    <n v="461.39"/>
    <n v="8"/>
    <n v="48.85"/>
  </r>
  <r>
    <s v="ORD0280"/>
    <x v="238"/>
    <x v="9"/>
    <x v="0"/>
    <x v="2"/>
    <x v="1"/>
    <x v="0"/>
    <n v="3155.82"/>
    <n v="5"/>
    <n v="422"/>
  </r>
  <r>
    <s v="ORD0281"/>
    <x v="239"/>
    <x v="6"/>
    <x v="0"/>
    <x v="5"/>
    <x v="1"/>
    <x v="2"/>
    <n v="714.77"/>
    <n v="1"/>
    <n v="607.57000000000005"/>
  </r>
  <r>
    <s v="ORD0282"/>
    <x v="207"/>
    <x v="9"/>
    <x v="1"/>
    <x v="4"/>
    <x v="1"/>
    <x v="0"/>
    <n v="1985.73"/>
    <n v="6"/>
    <n v="233.11"/>
  </r>
  <r>
    <s v="ORD0283"/>
    <x v="240"/>
    <x v="10"/>
    <x v="1"/>
    <x v="3"/>
    <x v="0"/>
    <x v="2"/>
    <n v="2339.06"/>
    <n v="7"/>
    <n v="284.45"/>
  </r>
  <r>
    <s v="ORD0284"/>
    <x v="241"/>
    <x v="0"/>
    <x v="1"/>
    <x v="0"/>
    <x v="0"/>
    <x v="2"/>
    <n v="2325.42"/>
    <n v="9"/>
    <n v="228.04"/>
  </r>
  <r>
    <s v="ORD0285"/>
    <x v="188"/>
    <x v="10"/>
    <x v="1"/>
    <x v="3"/>
    <x v="0"/>
    <x v="0"/>
    <n v="9332.68"/>
    <n v="10"/>
    <n v="796.18"/>
  </r>
  <r>
    <s v="ORD0286"/>
    <x v="242"/>
    <x v="3"/>
    <x v="0"/>
    <x v="4"/>
    <x v="1"/>
    <x v="3"/>
    <n v="671.94"/>
    <n v="2"/>
    <n v="275.77999999999997"/>
  </r>
  <r>
    <s v="ORD0287"/>
    <x v="243"/>
    <x v="11"/>
    <x v="0"/>
    <x v="3"/>
    <x v="0"/>
    <x v="2"/>
    <n v="2628.92"/>
    <n v="8"/>
    <n v="294.20999999999998"/>
  </r>
  <r>
    <s v="ORD0288"/>
    <x v="209"/>
    <x v="7"/>
    <x v="0"/>
    <x v="4"/>
    <x v="1"/>
    <x v="2"/>
    <n v="106.41"/>
    <n v="1"/>
    <n v="78.53"/>
  </r>
  <r>
    <s v="ORD0289"/>
    <x v="244"/>
    <x v="5"/>
    <x v="0"/>
    <x v="4"/>
    <x v="1"/>
    <x v="1"/>
    <n v="2805.38"/>
    <n v="3"/>
    <n v="681.96"/>
  </r>
  <r>
    <s v="ORD0290"/>
    <x v="245"/>
    <x v="8"/>
    <x v="0"/>
    <x v="3"/>
    <x v="0"/>
    <x v="0"/>
    <n v="554.30999999999995"/>
    <n v="2"/>
    <n v="204.08"/>
  </r>
  <r>
    <s v="ORD0291"/>
    <x v="246"/>
    <x v="1"/>
    <x v="1"/>
    <x v="4"/>
    <x v="1"/>
    <x v="2"/>
    <n v="674.8"/>
    <n v="1"/>
    <n v="491.97"/>
  </r>
  <r>
    <s v="ORD0292"/>
    <x v="247"/>
    <x v="10"/>
    <x v="1"/>
    <x v="4"/>
    <x v="1"/>
    <x v="3"/>
    <n v="1226.94"/>
    <n v="2"/>
    <n v="467.66"/>
  </r>
  <r>
    <s v="ORD0293"/>
    <x v="248"/>
    <x v="7"/>
    <x v="1"/>
    <x v="3"/>
    <x v="0"/>
    <x v="3"/>
    <n v="1229.56"/>
    <n v="5"/>
    <n v="214.7"/>
  </r>
  <r>
    <s v="ORD0294"/>
    <x v="249"/>
    <x v="8"/>
    <x v="1"/>
    <x v="0"/>
    <x v="0"/>
    <x v="1"/>
    <n v="3837.1"/>
    <n v="9"/>
    <n v="321.85000000000002"/>
  </r>
  <r>
    <s v="ORD0295"/>
    <x v="250"/>
    <x v="4"/>
    <x v="1"/>
    <x v="4"/>
    <x v="1"/>
    <x v="3"/>
    <n v="2015.62"/>
    <n v="8"/>
    <n v="187.36"/>
  </r>
  <r>
    <s v="ORD0296"/>
    <x v="99"/>
    <x v="2"/>
    <x v="0"/>
    <x v="0"/>
    <x v="0"/>
    <x v="2"/>
    <n v="284.37"/>
    <n v="2"/>
    <n v="125.87"/>
  </r>
  <r>
    <s v="ORD0297"/>
    <x v="251"/>
    <x v="10"/>
    <x v="0"/>
    <x v="2"/>
    <x v="1"/>
    <x v="2"/>
    <n v="4491.2"/>
    <n v="6"/>
    <n v="540.91999999999996"/>
  </r>
  <r>
    <s v="ORD0298"/>
    <x v="252"/>
    <x v="9"/>
    <x v="0"/>
    <x v="5"/>
    <x v="1"/>
    <x v="3"/>
    <n v="2538.2800000000002"/>
    <n v="3"/>
    <n v="575.21"/>
  </r>
  <r>
    <s v="ORD0299"/>
    <x v="253"/>
    <x v="0"/>
    <x v="1"/>
    <x v="0"/>
    <x v="0"/>
    <x v="1"/>
    <n v="2620.85"/>
    <n v="9"/>
    <n v="194.91"/>
  </r>
  <r>
    <s v="ORD0300"/>
    <x v="254"/>
    <x v="8"/>
    <x v="1"/>
    <x v="2"/>
    <x v="1"/>
    <x v="1"/>
    <n v="400.67"/>
    <n v="1"/>
    <n v="30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D20F6-53B5-4B8D-AD48-C4F00270EC2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21:K27" firstHeaderRow="1" firstDataRow="2" firstDataCol="1"/>
  <pivotFields count="14">
    <pivotField showAll="0"/>
    <pivotField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7">
        <item x="5"/>
        <item x="4"/>
        <item x="1"/>
        <item x="3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dataField="1"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Cost" fld="9" baseField="0" baseItem="0" numFmtId="165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DA4F2-6E62-4881-BB1F-5CCB14FC6B3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3:D41" firstHeaderRow="1" firstDataRow="2" firstDataCol="1"/>
  <pivotFields count="14">
    <pivotField showAll="0"/>
    <pivotField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7">
        <item x="5"/>
        <item x="4"/>
        <item x="1"/>
        <item x="3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7" baseField="0" baseItem="0" numFmtId="165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529C4-C329-4490-B0A3-31A159372C5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6" firstHeaderRow="0" firstDataRow="1" firstDataCol="1"/>
  <pivotFields count="14">
    <pivotField showAll="0"/>
    <pivotField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dataField="1" showAll="0"/>
    <pivotField dataField="1" showAll="0"/>
    <pivotField dataField="1"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7" baseField="0" baseItem="0"/>
    <dataField name="Sum of Quantity" fld="8" baseField="0" baseItem="0"/>
    <dataField name="Sum of Cost" fld="9" baseField="0" baseItem="0"/>
    <dataField name="Sum of Profit" fld="10" baseField="0" baseItem="0"/>
  </dataFields>
  <formats count="2">
    <format dxfId="3">
      <pivotArea collapsedLevelsAreSubtotals="1" fieldPosition="0">
        <references count="2">
          <reference field="4294967294" count="1" selected="0">
            <x v="0"/>
          </reference>
          <reference field="3" count="0"/>
        </references>
      </pivotArea>
    </format>
    <format dxfId="2">
      <pivotArea collapsedLevelsAreSubtotals="1" fieldPosition="0">
        <references count="2">
          <reference field="4294967294" count="2" selected="0">
            <x v="2"/>
            <x v="3"/>
          </reference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2D8AB-74E0-4101-B1A2-52834FAAA02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30:K36" firstHeaderRow="1" firstDataRow="2" firstDataCol="1"/>
  <pivotFields count="14">
    <pivotField showAll="0"/>
    <pivotField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7">
        <item x="5"/>
        <item x="4"/>
        <item x="1"/>
        <item x="3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dataField="1"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Profit" fld="10" baseField="0" baseItem="0" numFmtId="165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6A2376-7D1E-4601-A8D1-16ECB008A89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H3:K9" firstHeaderRow="1" firstDataRow="2" firstDataCol="1"/>
  <pivotFields count="14">
    <pivotField showAll="0"/>
    <pivotField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7">
        <item x="5"/>
        <item x="4"/>
        <item x="1"/>
        <item x="3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7" baseField="0" baseItem="0" numFmtId="165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29FC6-49E2-4626-9A83-751AAA1BCB3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6:D30" firstHeaderRow="1" firstDataRow="2" firstDataCol="1"/>
  <pivotFields count="14">
    <pivotField showAll="0"/>
    <pivotField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axis="axisRow"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7" baseField="0" baseItem="0" numFmtId="165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0F4B29-8701-472F-81C6-2B61413B71B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12:K18" firstHeaderRow="1" firstDataRow="2" firstDataCol="1"/>
  <pivotFields count="14">
    <pivotField showAll="0"/>
    <pivotField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7">
        <item x="5"/>
        <item x="4"/>
        <item x="1"/>
        <item x="3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2"/>
  </rowFields>
  <rowItems count="5"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Quantity" fld="8" baseField="0" baseItem="0"/>
  </dataFields>
  <formats count="1">
    <format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B9C97-8AAD-4B5E-AF0E-8930505CFA1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4:D50" firstHeaderRow="1" firstDataRow="2" firstDataCol="1"/>
  <pivotFields count="14">
    <pivotField showAll="0"/>
    <pivotField showAll="0">
      <items count="256">
        <item x="231"/>
        <item x="146"/>
        <item x="30"/>
        <item x="105"/>
        <item x="180"/>
        <item x="234"/>
        <item x="162"/>
        <item x="0"/>
        <item x="225"/>
        <item x="66"/>
        <item x="244"/>
        <item x="13"/>
        <item x="164"/>
        <item x="67"/>
        <item x="6"/>
        <item x="69"/>
        <item x="199"/>
        <item x="38"/>
        <item x="43"/>
        <item x="35"/>
        <item x="212"/>
        <item x="237"/>
        <item x="182"/>
        <item x="145"/>
        <item x="127"/>
        <item x="128"/>
        <item x="159"/>
        <item x="157"/>
        <item x="226"/>
        <item x="112"/>
        <item x="251"/>
        <item x="17"/>
        <item x="5"/>
        <item x="78"/>
        <item x="190"/>
        <item x="187"/>
        <item x="117"/>
        <item x="103"/>
        <item x="242"/>
        <item x="161"/>
        <item x="101"/>
        <item x="198"/>
        <item x="167"/>
        <item x="201"/>
        <item x="140"/>
        <item x="245"/>
        <item x="58"/>
        <item x="47"/>
        <item x="52"/>
        <item x="95"/>
        <item x="227"/>
        <item x="178"/>
        <item x="147"/>
        <item x="189"/>
        <item x="218"/>
        <item x="193"/>
        <item x="166"/>
        <item x="93"/>
        <item x="243"/>
        <item x="181"/>
        <item x="36"/>
        <item x="99"/>
        <item x="125"/>
        <item x="59"/>
        <item x="27"/>
        <item x="14"/>
        <item x="216"/>
        <item x="42"/>
        <item x="81"/>
        <item x="205"/>
        <item x="63"/>
        <item x="64"/>
        <item x="98"/>
        <item x="29"/>
        <item x="87"/>
        <item x="9"/>
        <item x="149"/>
        <item x="206"/>
        <item x="24"/>
        <item x="33"/>
        <item x="80"/>
        <item x="122"/>
        <item x="116"/>
        <item x="97"/>
        <item x="239"/>
        <item x="229"/>
        <item x="85"/>
        <item x="46"/>
        <item x="21"/>
        <item x="15"/>
        <item x="62"/>
        <item x="12"/>
        <item x="53"/>
        <item x="92"/>
        <item x="209"/>
        <item x="65"/>
        <item x="111"/>
        <item x="214"/>
        <item x="223"/>
        <item x="192"/>
        <item x="135"/>
        <item x="126"/>
        <item x="252"/>
        <item x="200"/>
        <item x="124"/>
        <item x="221"/>
        <item x="141"/>
        <item x="136"/>
        <item x="238"/>
        <item x="153"/>
        <item x="134"/>
        <item x="185"/>
        <item x="108"/>
        <item x="110"/>
        <item x="72"/>
        <item x="31"/>
        <item x="176"/>
        <item x="4"/>
        <item x="104"/>
        <item x="194"/>
        <item x="34"/>
        <item x="253"/>
        <item x="174"/>
        <item x="70"/>
        <item x="241"/>
        <item x="50"/>
        <item x="10"/>
        <item x="222"/>
        <item x="195"/>
        <item x="40"/>
        <item x="186"/>
        <item x="150"/>
        <item x="89"/>
        <item x="233"/>
        <item x="94"/>
        <item x="102"/>
        <item x="28"/>
        <item x="114"/>
        <item x="74"/>
        <item x="39"/>
        <item x="88"/>
        <item x="151"/>
        <item x="61"/>
        <item x="79"/>
        <item x="165"/>
        <item x="41"/>
        <item x="115"/>
        <item x="188"/>
        <item x="224"/>
        <item x="219"/>
        <item x="129"/>
        <item x="240"/>
        <item x="247"/>
        <item x="3"/>
        <item x="211"/>
        <item x="183"/>
        <item x="172"/>
        <item x="96"/>
        <item x="148"/>
        <item x="144"/>
        <item x="48"/>
        <item x="142"/>
        <item x="37"/>
        <item x="109"/>
        <item x="90"/>
        <item x="25"/>
        <item x="171"/>
        <item x="254"/>
        <item x="249"/>
        <item x="130"/>
        <item x="213"/>
        <item x="54"/>
        <item x="49"/>
        <item x="143"/>
        <item x="76"/>
        <item x="132"/>
        <item x="123"/>
        <item x="232"/>
        <item x="156"/>
        <item x="202"/>
        <item x="91"/>
        <item x="32"/>
        <item x="179"/>
        <item x="57"/>
        <item x="84"/>
        <item x="139"/>
        <item x="7"/>
        <item x="19"/>
        <item x="177"/>
        <item x="82"/>
        <item x="215"/>
        <item x="2"/>
        <item x="100"/>
        <item x="246"/>
        <item x="196"/>
        <item x="120"/>
        <item x="203"/>
        <item x="121"/>
        <item x="45"/>
        <item x="75"/>
        <item x="235"/>
        <item x="16"/>
        <item x="173"/>
        <item x="204"/>
        <item x="1"/>
        <item x="18"/>
        <item x="23"/>
        <item x="68"/>
        <item x="11"/>
        <item x="169"/>
        <item x="220"/>
        <item x="51"/>
        <item x="210"/>
        <item x="107"/>
        <item x="60"/>
        <item x="138"/>
        <item x="152"/>
        <item x="86"/>
        <item x="208"/>
        <item x="163"/>
        <item x="154"/>
        <item x="230"/>
        <item x="155"/>
        <item x="55"/>
        <item x="133"/>
        <item x="56"/>
        <item x="168"/>
        <item x="22"/>
        <item x="20"/>
        <item x="113"/>
        <item x="170"/>
        <item x="248"/>
        <item x="207"/>
        <item x="137"/>
        <item x="77"/>
        <item x="26"/>
        <item x="217"/>
        <item x="175"/>
        <item x="71"/>
        <item x="73"/>
        <item x="158"/>
        <item x="83"/>
        <item x="191"/>
        <item x="131"/>
        <item x="197"/>
        <item x="44"/>
        <item x="236"/>
        <item x="184"/>
        <item x="160"/>
        <item x="119"/>
        <item x="250"/>
        <item x="8"/>
        <item x="228"/>
        <item x="106"/>
        <item x="118"/>
        <item t="default"/>
      </items>
    </pivotField>
    <pivotField showAll="0">
      <items count="13">
        <item x="0"/>
        <item x="5"/>
        <item x="10"/>
        <item x="3"/>
        <item x="8"/>
        <item x="11"/>
        <item x="2"/>
        <item x="1"/>
        <item x="6"/>
        <item x="7"/>
        <item x="9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7">
        <item x="5"/>
        <item x="4"/>
        <item x="1"/>
        <item x="3"/>
        <item x="2"/>
        <item x="0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dataField="1"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7" baseField="0" baseItem="0"/>
  </dataFields>
  <formats count="4">
    <format>
      <pivotArea outline="0" collapsedLevelsAreSubtotals="1" fieldPosition="0"/>
    </format>
    <format dxfId="9">
      <pivotArea collapsedLevelsAreSubtotals="1" fieldPosition="0">
        <references count="2">
          <reference field="3" count="1" selected="0">
            <x v="0"/>
          </reference>
          <reference field="6" count="1">
            <x v="0"/>
          </reference>
        </references>
      </pivotArea>
    </format>
    <format dxfId="8">
      <pivotArea collapsedLevelsAreSubtotals="1" fieldPosition="0">
        <references count="2">
          <reference field="3" count="1" selected="0">
            <x v="1"/>
          </reference>
          <reference field="6" count="0"/>
        </references>
      </pivotArea>
    </format>
    <format dxfId="7">
      <pivotArea field="6" grandCol="1" collapsedLevelsAreSubtotals="1" axis="axisRow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420E-C1E7-4BB6-8C77-46D4E98D2F64}">
  <dimension ref="A1:K50"/>
  <sheetViews>
    <sheetView tabSelected="1" workbookViewId="0">
      <selection activeCell="C11" sqref="C11"/>
    </sheetView>
  </sheetViews>
  <sheetFormatPr defaultRowHeight="15" x14ac:dyDescent="0.25"/>
  <cols>
    <col min="1" max="1" width="13.42578125" bestFit="1" customWidth="1"/>
    <col min="2" max="2" width="16.85546875" bestFit="1" customWidth="1"/>
    <col min="3" max="3" width="10" bestFit="1" customWidth="1"/>
    <col min="4" max="4" width="11.28515625" bestFit="1" customWidth="1"/>
    <col min="5" max="5" width="12.7109375" bestFit="1" customWidth="1"/>
    <col min="6" max="6" width="9" customWidth="1"/>
    <col min="7" max="7" width="8.28515625" customWidth="1"/>
    <col min="8" max="8" width="15.5703125" bestFit="1" customWidth="1"/>
    <col min="9" max="9" width="16.85546875" bestFit="1" customWidth="1"/>
    <col min="10" max="10" width="5" bestFit="1" customWidth="1"/>
    <col min="11" max="11" width="11.28515625" bestFit="1" customWidth="1"/>
    <col min="12" max="12" width="8.85546875" customWidth="1"/>
    <col min="13" max="13" width="10.140625" customWidth="1"/>
    <col min="14" max="14" width="11.28515625" bestFit="1" customWidth="1"/>
  </cols>
  <sheetData>
    <row r="1" spans="1:11" x14ac:dyDescent="0.25">
      <c r="D1" t="s">
        <v>26</v>
      </c>
    </row>
    <row r="2" spans="1:11" x14ac:dyDescent="0.25">
      <c r="B2">
        <f ca="1">TODAY()</f>
        <v>45975</v>
      </c>
      <c r="H2" t="s">
        <v>47</v>
      </c>
    </row>
    <row r="3" spans="1:11" x14ac:dyDescent="0.25">
      <c r="A3" s="1" t="s">
        <v>13</v>
      </c>
      <c r="B3" t="s">
        <v>12</v>
      </c>
      <c r="C3" t="s">
        <v>11</v>
      </c>
      <c r="D3" t="s">
        <v>10</v>
      </c>
      <c r="E3" t="s">
        <v>17</v>
      </c>
      <c r="H3" s="1" t="s">
        <v>12</v>
      </c>
      <c r="I3" s="1" t="s">
        <v>40</v>
      </c>
    </row>
    <row r="4" spans="1:11" x14ac:dyDescent="0.25">
      <c r="A4" s="2" t="s">
        <v>14</v>
      </c>
      <c r="B4" s="3">
        <v>365643.99000000028</v>
      </c>
      <c r="C4" s="6">
        <v>724</v>
      </c>
      <c r="D4" s="3">
        <v>57541.749999999985</v>
      </c>
      <c r="E4" s="3">
        <v>308102.24000000028</v>
      </c>
      <c r="H4" s="1" t="s">
        <v>13</v>
      </c>
      <c r="I4" t="s">
        <v>14</v>
      </c>
      <c r="J4" t="s">
        <v>15</v>
      </c>
      <c r="K4" t="s">
        <v>16</v>
      </c>
    </row>
    <row r="5" spans="1:11" x14ac:dyDescent="0.25">
      <c r="A5" s="2" t="s">
        <v>15</v>
      </c>
      <c r="B5" s="3">
        <v>475604.68999999954</v>
      </c>
      <c r="C5" s="6">
        <v>899</v>
      </c>
      <c r="D5" s="3">
        <v>63978.150000000031</v>
      </c>
      <c r="E5" s="3">
        <v>411626.53999999951</v>
      </c>
      <c r="H5" s="2" t="s">
        <v>43</v>
      </c>
      <c r="I5" s="4">
        <v>109932.46999999999</v>
      </c>
      <c r="J5" s="4">
        <v>110028.64000000001</v>
      </c>
      <c r="K5" s="4">
        <v>219961.11</v>
      </c>
    </row>
    <row r="6" spans="1:11" x14ac:dyDescent="0.25">
      <c r="A6" s="2" t="s">
        <v>16</v>
      </c>
      <c r="B6" s="6">
        <v>841248.67999999982</v>
      </c>
      <c r="C6" s="6">
        <v>1623</v>
      </c>
      <c r="D6" s="6">
        <v>121519.90000000002</v>
      </c>
      <c r="E6" s="6">
        <v>719728.78000000084</v>
      </c>
      <c r="H6" s="2" t="s">
        <v>44</v>
      </c>
      <c r="I6" s="4">
        <v>70357.790000000008</v>
      </c>
      <c r="J6" s="4">
        <v>103062.17000000001</v>
      </c>
      <c r="K6" s="4">
        <v>173419.96000000002</v>
      </c>
    </row>
    <row r="7" spans="1:11" x14ac:dyDescent="0.25">
      <c r="H7" s="2" t="s">
        <v>45</v>
      </c>
      <c r="I7" s="4">
        <v>82404.929999999993</v>
      </c>
      <c r="J7" s="4">
        <v>141176.32000000001</v>
      </c>
      <c r="K7" s="4">
        <v>223581.25</v>
      </c>
    </row>
    <row r="8" spans="1:11" x14ac:dyDescent="0.25">
      <c r="A8" t="s">
        <v>18</v>
      </c>
      <c r="H8" s="2" t="s">
        <v>46</v>
      </c>
      <c r="I8" s="4">
        <v>102948.79999999997</v>
      </c>
      <c r="J8" s="4">
        <v>121337.56</v>
      </c>
      <c r="K8" s="4">
        <v>224286.36</v>
      </c>
    </row>
    <row r="9" spans="1:11" x14ac:dyDescent="0.25">
      <c r="A9" t="s">
        <v>19</v>
      </c>
      <c r="B9" t="s">
        <v>20</v>
      </c>
      <c r="C9" t="s">
        <v>21</v>
      </c>
      <c r="H9" s="2" t="s">
        <v>16</v>
      </c>
      <c r="I9" s="4">
        <v>365643.99</v>
      </c>
      <c r="J9" s="4">
        <v>475604.69</v>
      </c>
      <c r="K9" s="4">
        <v>841248.68</v>
      </c>
    </row>
    <row r="10" spans="1:11" x14ac:dyDescent="0.25">
      <c r="A10" s="4">
        <f>GETPIVOTDATA("Sum of Sales",$A$3,"Year","2024")</f>
        <v>475604.68999999954</v>
      </c>
      <c r="B10" s="4">
        <f>GETPIVOTDATA("Sum of Sales",$A$3,"Year","2023")</f>
        <v>365643.99000000028</v>
      </c>
      <c r="C10" s="3">
        <f>(A10-B10)/B10</f>
        <v>0.30073159413887585</v>
      </c>
      <c r="D10" t="str">
        <f>IF(C10&gt;0,"🔼","🔽")&amp;TEXT(ABS(C10), "0%")    &amp; "VS LY"</f>
        <v>🔼30%VS LY</v>
      </c>
      <c r="E10" t="s">
        <v>22</v>
      </c>
    </row>
    <row r="11" spans="1:11" x14ac:dyDescent="0.25">
      <c r="A11">
        <f>GETPIVOTDATA("Sum of Quantity",$A$3,"Year","2024")</f>
        <v>899</v>
      </c>
      <c r="B11">
        <f>GETPIVOTDATA("Sum of Quantity",$A$3,"Year","2023")</f>
        <v>724</v>
      </c>
      <c r="C11" s="5">
        <f t="shared" ref="C11:C13" si="0">(A11-B11)/B11</f>
        <v>0.24171270718232044</v>
      </c>
      <c r="D11" t="str">
        <f t="shared" ref="D11:D13" si="1">IF(C11&gt;0,"🔼","🔽")&amp;TEXT(ABS(C11), "0%") &amp; "VS LY"</f>
        <v>🔼24%VS LY</v>
      </c>
      <c r="E11" t="s">
        <v>23</v>
      </c>
      <c r="H11" t="s">
        <v>48</v>
      </c>
    </row>
    <row r="12" spans="1:11" x14ac:dyDescent="0.25">
      <c r="A12" s="4">
        <f>GETPIVOTDATA("Sum of Cost",$A$3,"Year","2024")</f>
        <v>63978.150000000031</v>
      </c>
      <c r="B12" s="4">
        <f>GETPIVOTDATA("Sum of Cost",$A$3,"Year","2023")</f>
        <v>57541.749999999985</v>
      </c>
      <c r="C12" s="3">
        <f t="shared" si="0"/>
        <v>0.11185617399540415</v>
      </c>
      <c r="D12" t="str">
        <f t="shared" si="1"/>
        <v>🔼11%VS LY</v>
      </c>
      <c r="E12" t="s">
        <v>24</v>
      </c>
      <c r="H12" s="1" t="s">
        <v>11</v>
      </c>
      <c r="I12" s="1" t="s">
        <v>40</v>
      </c>
    </row>
    <row r="13" spans="1:11" x14ac:dyDescent="0.25">
      <c r="A13" s="4">
        <f>GETPIVOTDATA("Sum of Profit",$A$3,"Year","2024")</f>
        <v>411626.53999999951</v>
      </c>
      <c r="B13" s="4">
        <f>GETPIVOTDATA("Sum of Profit",$A$3,"Year","2023")</f>
        <v>308102.24000000028</v>
      </c>
      <c r="C13" s="3">
        <f t="shared" si="0"/>
        <v>0.33600632049932233</v>
      </c>
      <c r="D13" t="str">
        <f t="shared" si="1"/>
        <v>🔼34%VS LY</v>
      </c>
      <c r="E13" t="s">
        <v>25</v>
      </c>
      <c r="H13" s="1" t="s">
        <v>13</v>
      </c>
      <c r="I13" t="s">
        <v>14</v>
      </c>
      <c r="J13" t="s">
        <v>15</v>
      </c>
      <c r="K13" t="s">
        <v>16</v>
      </c>
    </row>
    <row r="14" spans="1:11" x14ac:dyDescent="0.25">
      <c r="H14" s="2" t="s">
        <v>43</v>
      </c>
      <c r="I14" s="6">
        <v>202</v>
      </c>
      <c r="J14" s="6">
        <v>216</v>
      </c>
      <c r="K14" s="6">
        <v>418</v>
      </c>
    </row>
    <row r="15" spans="1:11" x14ac:dyDescent="0.25">
      <c r="A15" t="s">
        <v>27</v>
      </c>
      <c r="H15" s="2" t="s">
        <v>44</v>
      </c>
      <c r="I15" s="6">
        <v>174</v>
      </c>
      <c r="J15" s="6">
        <v>189</v>
      </c>
      <c r="K15" s="6">
        <v>363</v>
      </c>
    </row>
    <row r="16" spans="1:11" x14ac:dyDescent="0.25">
      <c r="A16" s="1" t="s">
        <v>12</v>
      </c>
      <c r="B16" s="1" t="s">
        <v>40</v>
      </c>
      <c r="H16" s="2" t="s">
        <v>45</v>
      </c>
      <c r="I16" s="6">
        <v>146</v>
      </c>
      <c r="J16" s="6">
        <v>252</v>
      </c>
      <c r="K16" s="6">
        <v>398</v>
      </c>
    </row>
    <row r="17" spans="1:11" x14ac:dyDescent="0.25">
      <c r="A17" s="1" t="s">
        <v>13</v>
      </c>
      <c r="B17" t="s">
        <v>14</v>
      </c>
      <c r="C17" t="s">
        <v>15</v>
      </c>
      <c r="D17" t="s">
        <v>16</v>
      </c>
      <c r="H17" s="2" t="s">
        <v>46</v>
      </c>
      <c r="I17" s="6">
        <v>202</v>
      </c>
      <c r="J17" s="6">
        <v>242</v>
      </c>
      <c r="K17" s="6">
        <v>444</v>
      </c>
    </row>
    <row r="18" spans="1:11" x14ac:dyDescent="0.25">
      <c r="A18" s="2" t="s">
        <v>28</v>
      </c>
      <c r="B18" s="4">
        <v>29902.450000000004</v>
      </c>
      <c r="C18" s="4">
        <v>35755.53</v>
      </c>
      <c r="D18" s="4">
        <v>65657.98000000001</v>
      </c>
      <c r="H18" s="2" t="s">
        <v>16</v>
      </c>
      <c r="I18" s="6">
        <v>724</v>
      </c>
      <c r="J18" s="6">
        <v>899</v>
      </c>
      <c r="K18" s="6">
        <v>1623</v>
      </c>
    </row>
    <row r="19" spans="1:11" x14ac:dyDescent="0.25">
      <c r="A19" s="2" t="s">
        <v>29</v>
      </c>
      <c r="B19" s="4">
        <v>27457.3</v>
      </c>
      <c r="C19" s="4">
        <v>38638.26</v>
      </c>
      <c r="D19" s="4">
        <v>66095.56</v>
      </c>
    </row>
    <row r="20" spans="1:11" x14ac:dyDescent="0.25">
      <c r="A20" s="2" t="s">
        <v>30</v>
      </c>
      <c r="B20" s="4">
        <v>52572.72</v>
      </c>
      <c r="C20" s="4">
        <v>35634.850000000006</v>
      </c>
      <c r="D20" s="4">
        <v>88207.57</v>
      </c>
      <c r="H20" t="s">
        <v>49</v>
      </c>
    </row>
    <row r="21" spans="1:11" x14ac:dyDescent="0.25">
      <c r="A21" s="2" t="s">
        <v>31</v>
      </c>
      <c r="B21" s="4">
        <v>36742.660000000003</v>
      </c>
      <c r="C21" s="4">
        <v>58242.11</v>
      </c>
      <c r="D21" s="4">
        <v>94984.77</v>
      </c>
      <c r="H21" s="1" t="s">
        <v>10</v>
      </c>
      <c r="I21" s="1" t="s">
        <v>40</v>
      </c>
    </row>
    <row r="22" spans="1:11" x14ac:dyDescent="0.25">
      <c r="A22" s="2" t="s">
        <v>32</v>
      </c>
      <c r="B22" s="4">
        <v>7677.8000000000011</v>
      </c>
      <c r="C22" s="4">
        <v>11831.57</v>
      </c>
      <c r="D22" s="4">
        <v>19509.370000000003</v>
      </c>
      <c r="H22" s="1" t="s">
        <v>13</v>
      </c>
      <c r="I22" t="s">
        <v>14</v>
      </c>
      <c r="J22" t="s">
        <v>15</v>
      </c>
      <c r="K22" t="s">
        <v>16</v>
      </c>
    </row>
    <row r="23" spans="1:11" x14ac:dyDescent="0.25">
      <c r="A23" s="2" t="s">
        <v>33</v>
      </c>
      <c r="B23" s="4">
        <v>25937.33</v>
      </c>
      <c r="C23" s="4">
        <v>32988.49</v>
      </c>
      <c r="D23" s="4">
        <v>58925.82</v>
      </c>
      <c r="H23" s="2" t="s">
        <v>43</v>
      </c>
      <c r="I23" s="4">
        <v>14858.35</v>
      </c>
      <c r="J23" s="4">
        <v>14980.41</v>
      </c>
      <c r="K23" s="4">
        <v>29838.760000000002</v>
      </c>
    </row>
    <row r="24" spans="1:11" x14ac:dyDescent="0.25">
      <c r="A24" s="2" t="s">
        <v>34</v>
      </c>
      <c r="B24" s="4">
        <v>7336.46</v>
      </c>
      <c r="C24" s="4">
        <v>53865.369999999988</v>
      </c>
      <c r="D24" s="4">
        <v>61201.829999999987</v>
      </c>
      <c r="H24" s="2" t="s">
        <v>44</v>
      </c>
      <c r="I24" s="4">
        <v>11681.549999999996</v>
      </c>
      <c r="J24" s="4">
        <v>12698.280000000002</v>
      </c>
      <c r="K24" s="4">
        <v>24379.829999999998</v>
      </c>
    </row>
    <row r="25" spans="1:11" x14ac:dyDescent="0.25">
      <c r="A25" s="2" t="s">
        <v>35</v>
      </c>
      <c r="B25" s="4">
        <v>44929.069999999992</v>
      </c>
      <c r="C25" s="4">
        <v>28180.969999999998</v>
      </c>
      <c r="D25" s="4">
        <v>73110.039999999994</v>
      </c>
      <c r="H25" s="2" t="s">
        <v>45</v>
      </c>
      <c r="I25" s="4">
        <v>15455.970000000003</v>
      </c>
      <c r="J25" s="4">
        <v>19318.900000000001</v>
      </c>
      <c r="K25" s="4">
        <v>34774.870000000003</v>
      </c>
    </row>
    <row r="26" spans="1:11" x14ac:dyDescent="0.25">
      <c r="A26" s="2" t="s">
        <v>36</v>
      </c>
      <c r="B26" s="4">
        <v>30139.4</v>
      </c>
      <c r="C26" s="4">
        <v>59129.979999999996</v>
      </c>
      <c r="D26" s="4">
        <v>89269.38</v>
      </c>
      <c r="H26" s="2" t="s">
        <v>46</v>
      </c>
      <c r="I26" s="4">
        <v>15545.880000000001</v>
      </c>
      <c r="J26" s="4">
        <v>16980.560000000001</v>
      </c>
      <c r="K26" s="4">
        <v>32526.440000000002</v>
      </c>
    </row>
    <row r="27" spans="1:11" x14ac:dyDescent="0.25">
      <c r="A27" s="2" t="s">
        <v>37</v>
      </c>
      <c r="B27" s="4">
        <v>40537.450000000004</v>
      </c>
      <c r="C27" s="4">
        <v>50680.210000000006</v>
      </c>
      <c r="D27" s="4">
        <v>91217.66</v>
      </c>
      <c r="H27" s="2" t="s">
        <v>16</v>
      </c>
      <c r="I27" s="4">
        <v>57541.75</v>
      </c>
      <c r="J27" s="4">
        <v>63978.150000000009</v>
      </c>
      <c r="K27" s="4">
        <v>121519.9</v>
      </c>
    </row>
    <row r="28" spans="1:11" x14ac:dyDescent="0.25">
      <c r="A28" s="2" t="s">
        <v>38</v>
      </c>
      <c r="B28" s="4">
        <v>41939.229999999996</v>
      </c>
      <c r="C28" s="4">
        <v>48022.19</v>
      </c>
      <c r="D28" s="4">
        <v>89961.42</v>
      </c>
    </row>
    <row r="29" spans="1:11" x14ac:dyDescent="0.25">
      <c r="A29" s="2" t="s">
        <v>39</v>
      </c>
      <c r="B29" s="4">
        <v>20472.120000000003</v>
      </c>
      <c r="C29" s="4">
        <v>22635.16</v>
      </c>
      <c r="D29" s="4">
        <v>43107.28</v>
      </c>
      <c r="H29" t="s">
        <v>50</v>
      </c>
    </row>
    <row r="30" spans="1:11" x14ac:dyDescent="0.25">
      <c r="A30" s="2" t="s">
        <v>16</v>
      </c>
      <c r="B30" s="4">
        <v>365643.99</v>
      </c>
      <c r="C30" s="4">
        <v>475604.68999999994</v>
      </c>
      <c r="D30" s="4">
        <v>841248.68000000017</v>
      </c>
      <c r="H30" s="1" t="s">
        <v>17</v>
      </c>
      <c r="I30" s="1" t="s">
        <v>40</v>
      </c>
    </row>
    <row r="31" spans="1:11" x14ac:dyDescent="0.25">
      <c r="H31" s="1" t="s">
        <v>13</v>
      </c>
      <c r="I31" t="s">
        <v>14</v>
      </c>
      <c r="J31" t="s">
        <v>15</v>
      </c>
      <c r="K31" t="s">
        <v>16</v>
      </c>
    </row>
    <row r="32" spans="1:11" x14ac:dyDescent="0.25">
      <c r="A32" t="s">
        <v>41</v>
      </c>
      <c r="H32" s="2" t="s">
        <v>43</v>
      </c>
      <c r="I32" s="4">
        <v>95074.119999999981</v>
      </c>
      <c r="J32" s="4">
        <v>95048.23000000001</v>
      </c>
      <c r="K32" s="4">
        <v>190122.34999999998</v>
      </c>
    </row>
    <row r="33" spans="1:11" x14ac:dyDescent="0.25">
      <c r="A33" s="1" t="s">
        <v>12</v>
      </c>
      <c r="B33" s="1" t="s">
        <v>40</v>
      </c>
      <c r="H33" s="2" t="s">
        <v>44</v>
      </c>
      <c r="I33" s="4">
        <v>58676.240000000013</v>
      </c>
      <c r="J33" s="4">
        <v>90363.890000000014</v>
      </c>
      <c r="K33" s="4">
        <v>149040.13</v>
      </c>
    </row>
    <row r="34" spans="1:11" x14ac:dyDescent="0.25">
      <c r="A34" s="1" t="s">
        <v>13</v>
      </c>
      <c r="B34" t="s">
        <v>14</v>
      </c>
      <c r="C34" t="s">
        <v>15</v>
      </c>
      <c r="D34" t="s">
        <v>16</v>
      </c>
      <c r="H34" s="2" t="s">
        <v>45</v>
      </c>
      <c r="I34" s="4">
        <v>66948.959999999992</v>
      </c>
      <c r="J34" s="4">
        <v>121857.42000000001</v>
      </c>
      <c r="K34" s="4">
        <v>188806.37999999995</v>
      </c>
    </row>
    <row r="35" spans="1:11" x14ac:dyDescent="0.25">
      <c r="A35" s="2" t="s">
        <v>8</v>
      </c>
      <c r="B35" s="4">
        <v>83732.830000000016</v>
      </c>
      <c r="C35" s="4">
        <v>81620.740000000005</v>
      </c>
      <c r="D35" s="4">
        <v>165353.57</v>
      </c>
      <c r="H35" s="2" t="s">
        <v>46</v>
      </c>
      <c r="I35" s="4">
        <v>87402.919999999969</v>
      </c>
      <c r="J35" s="4">
        <v>104357</v>
      </c>
      <c r="K35" s="4">
        <v>191759.91999999995</v>
      </c>
    </row>
    <row r="36" spans="1:11" x14ac:dyDescent="0.25">
      <c r="A36" s="2" t="s">
        <v>7</v>
      </c>
      <c r="B36" s="4">
        <v>87038.010000000009</v>
      </c>
      <c r="C36" s="4">
        <v>55919.660000000018</v>
      </c>
      <c r="D36" s="4">
        <v>142957.67000000004</v>
      </c>
      <c r="H36" s="2" t="s">
        <v>16</v>
      </c>
      <c r="I36" s="4">
        <v>308102.24000000011</v>
      </c>
      <c r="J36" s="4">
        <v>411626.53999999975</v>
      </c>
      <c r="K36" s="4">
        <v>719728.7799999998</v>
      </c>
    </row>
    <row r="37" spans="1:11" x14ac:dyDescent="0.25">
      <c r="A37" s="2" t="s">
        <v>2</v>
      </c>
      <c r="B37" s="4">
        <v>63549.779999999984</v>
      </c>
      <c r="C37" s="4">
        <v>64330.260000000024</v>
      </c>
      <c r="D37" s="4">
        <v>127880.04000000001</v>
      </c>
    </row>
    <row r="38" spans="1:11" x14ac:dyDescent="0.25">
      <c r="A38" s="2" t="s">
        <v>4</v>
      </c>
      <c r="B38" s="4">
        <v>37447.310000000005</v>
      </c>
      <c r="C38" s="4">
        <v>109494.29000000001</v>
      </c>
      <c r="D38" s="4">
        <v>146941.6</v>
      </c>
    </row>
    <row r="39" spans="1:11" x14ac:dyDescent="0.25">
      <c r="A39" s="2" t="s">
        <v>3</v>
      </c>
      <c r="B39" s="4">
        <v>42008.6</v>
      </c>
      <c r="C39" s="4">
        <v>105919.48000000004</v>
      </c>
      <c r="D39" s="4">
        <v>147928.08000000005</v>
      </c>
    </row>
    <row r="40" spans="1:11" x14ac:dyDescent="0.25">
      <c r="A40" s="2" t="s">
        <v>0</v>
      </c>
      <c r="B40" s="4">
        <v>51867.46</v>
      </c>
      <c r="C40" s="4">
        <v>58320.259999999995</v>
      </c>
      <c r="D40" s="4">
        <v>110187.72</v>
      </c>
    </row>
    <row r="41" spans="1:11" x14ac:dyDescent="0.25">
      <c r="A41" s="2" t="s">
        <v>16</v>
      </c>
      <c r="B41" s="4">
        <v>365643.99</v>
      </c>
      <c r="C41" s="4">
        <v>475604.69000000012</v>
      </c>
      <c r="D41" s="4">
        <v>841248.68</v>
      </c>
    </row>
    <row r="43" spans="1:11" x14ac:dyDescent="0.25">
      <c r="A43" t="s">
        <v>42</v>
      </c>
    </row>
    <row r="44" spans="1:11" x14ac:dyDescent="0.25">
      <c r="A44" s="1" t="s">
        <v>12</v>
      </c>
      <c r="B44" s="1" t="s">
        <v>40</v>
      </c>
    </row>
    <row r="45" spans="1:11" x14ac:dyDescent="0.25">
      <c r="A45" s="1" t="s">
        <v>13</v>
      </c>
      <c r="B45" t="s">
        <v>14</v>
      </c>
      <c r="C45" t="s">
        <v>15</v>
      </c>
      <c r="D45" t="s">
        <v>16</v>
      </c>
    </row>
    <row r="46" spans="1:11" x14ac:dyDescent="0.25">
      <c r="A46" s="2" t="s">
        <v>1</v>
      </c>
      <c r="B46" s="4">
        <v>61994.55999999999</v>
      </c>
      <c r="C46" s="4">
        <v>121472.34000000003</v>
      </c>
      <c r="D46" s="4">
        <v>183466.90000000002</v>
      </c>
    </row>
    <row r="47" spans="1:11" x14ac:dyDescent="0.25">
      <c r="A47" s="2" t="s">
        <v>9</v>
      </c>
      <c r="B47" s="6">
        <v>88852.969999999987</v>
      </c>
      <c r="C47" s="4">
        <v>93410.199999999968</v>
      </c>
      <c r="D47" s="4">
        <v>182263.16999999995</v>
      </c>
    </row>
    <row r="48" spans="1:11" x14ac:dyDescent="0.25">
      <c r="A48" s="2" t="s">
        <v>6</v>
      </c>
      <c r="B48" s="6">
        <v>123927.84999999996</v>
      </c>
      <c r="C48" s="4">
        <v>145397.91999999998</v>
      </c>
      <c r="D48" s="4">
        <v>269325.76999999996</v>
      </c>
    </row>
    <row r="49" spans="1:4" x14ac:dyDescent="0.25">
      <c r="A49" s="2" t="s">
        <v>5</v>
      </c>
      <c r="B49" s="6">
        <v>90868.61</v>
      </c>
      <c r="C49" s="4">
        <v>115324.23000000001</v>
      </c>
      <c r="D49" s="4">
        <v>206192.84000000003</v>
      </c>
    </row>
    <row r="50" spans="1:4" x14ac:dyDescent="0.25">
      <c r="A50" s="2" t="s">
        <v>16</v>
      </c>
      <c r="B50" s="6">
        <v>365643.98999999993</v>
      </c>
      <c r="C50" s="6">
        <v>475604.68999999994</v>
      </c>
      <c r="D50" s="6">
        <v>841248.67999999993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CALCULATIONS</vt:lpstr>
      <vt:lpstr>cost</vt:lpstr>
      <vt:lpstr>date</vt:lpstr>
      <vt:lpstr>profit</vt:lpstr>
      <vt:lpstr>qty</vt:lpstr>
      <vt:lpstr>sales</vt:lpstr>
      <vt:lpstr>yoycost</vt:lpstr>
      <vt:lpstr>yoyprofit</vt:lpstr>
      <vt:lpstr>yoyqty</vt:lpstr>
      <vt:lpstr>yoysales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Ouwatimileyin Adeyemo</dc:creator>
  <cp:lastModifiedBy>Ouwatimileyin Adeyemo</cp:lastModifiedBy>
  <dcterms:created xsi:type="dcterms:W3CDTF">2025-07-19T11:08:54Z</dcterms:created>
  <dcterms:modified xsi:type="dcterms:W3CDTF">2025-11-14T10:14:01Z</dcterms:modified>
</cp:coreProperties>
</file>