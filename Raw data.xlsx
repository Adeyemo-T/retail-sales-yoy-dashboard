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ti\OneDrive\Desktop\project\excel sales perf\"/>
    </mc:Choice>
  </mc:AlternateContent>
  <xr:revisionPtr revIDLastSave="0" documentId="8_{1327534D-361F-4CB1-921C-1BDC22811DB2}" xr6:coauthVersionLast="47" xr6:coauthVersionMax="47" xr10:uidLastSave="{00000000-0000-0000-0000-000000000000}"/>
  <bookViews>
    <workbookView xWindow="-120" yWindow="-120" windowWidth="20730" windowHeight="11760" xr2:uid="{0D2316A4-EC4B-43C9-9064-F233F866CA6C}"/>
  </bookViews>
  <sheets>
    <sheet name="DATA" sheetId="1" r:id="rId1"/>
  </sheets>
  <definedNames>
    <definedName name="cost">#REF!</definedName>
    <definedName name="date">#REF!</definedName>
    <definedName name="profit">#REF!</definedName>
    <definedName name="qty">#REF!</definedName>
    <definedName name="sales">#REF!</definedName>
    <definedName name="yoycost">#REF!</definedName>
    <definedName name="yoyprofit">#REF!</definedName>
    <definedName name="yoyqty">#REF!</definedName>
    <definedName name="yoysa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</calcChain>
</file>

<file path=xl/sharedStrings.xml><?xml version="1.0" encoding="utf-8"?>
<sst xmlns="http://schemas.openxmlformats.org/spreadsheetml/2006/main" count="1210" uniqueCount="322">
  <si>
    <t>ORD0001</t>
  </si>
  <si>
    <t>Printer</t>
  </si>
  <si>
    <t>Electronics</t>
  </si>
  <si>
    <t>East</t>
  </si>
  <si>
    <t>ORD0002</t>
  </si>
  <si>
    <t>Laptop</t>
  </si>
  <si>
    <t>ORD0003</t>
  </si>
  <si>
    <t>Mouse</t>
  </si>
  <si>
    <t>Accessories</t>
  </si>
  <si>
    <t>ORD0004</t>
  </si>
  <si>
    <t>Monitor</t>
  </si>
  <si>
    <t>West</t>
  </si>
  <si>
    <t>ORD0005</t>
  </si>
  <si>
    <t>South</t>
  </si>
  <si>
    <t>ORD0006</t>
  </si>
  <si>
    <t>Keyboard</t>
  </si>
  <si>
    <t>ORD0007</t>
  </si>
  <si>
    <t>Headphones</t>
  </si>
  <si>
    <t>North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</si>
  <si>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</si>
  <si>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</si>
  <si>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</si>
  <si>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</si>
  <si>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</si>
  <si>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</si>
  <si>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</si>
  <si>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</si>
  <si>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</si>
  <si>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</si>
  <si>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</si>
  <si>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</si>
  <si>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</si>
  <si>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</si>
  <si>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</si>
  <si>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</si>
  <si>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</si>
  <si>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</si>
  <si>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</si>
  <si>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</si>
  <si>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</si>
  <si>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</si>
  <si>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</si>
  <si>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</si>
  <si>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</si>
  <si>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</si>
  <si>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</si>
  <si>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</si>
  <si>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</si>
  <si>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</si>
  <si>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</si>
  <si>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</si>
  <si>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</si>
  <si>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</si>
  <si>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</si>
  <si>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</si>
  <si>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</si>
  <si>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</si>
  <si>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</si>
  <si>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</si>
  <si>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</si>
  <si>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</si>
  <si>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</si>
  <si>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</si>
  <si>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</si>
  <si>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</si>
  <si>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</si>
  <si>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</si>
  <si>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</si>
  <si>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</si>
  <si>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</si>
  <si>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</si>
  <si>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</si>
  <si>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</si>
  <si>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</si>
  <si>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</si>
  <si>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</si>
  <si>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</si>
  <si>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</si>
  <si>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</si>
  <si>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</si>
  <si>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</si>
  <si>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</si>
  <si>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</si>
  <si>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</si>
  <si>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</si>
  <si>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</si>
  <si>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</si>
  <si>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</si>
  <si>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</si>
  <si>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</si>
  <si>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</si>
  <si>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</si>
  <si>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</si>
  <si>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</si>
  <si>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</si>
  <si>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</si>
  <si>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</si>
  <si>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</si>
  <si>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</si>
  <si>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</si>
  <si>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</si>
  <si>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</si>
  <si>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</si>
  <si>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</si>
  <si>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</si>
  <si>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</si>
  <si>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</si>
  <si>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</si>
  <si>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</si>
  <si>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</si>
  <si>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</si>
  <si>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</si>
  <si>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</si>
  <si>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</si>
  <si>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</si>
  <si>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</si>
  <si>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</si>
  <si>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</si>
  <si>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</si>
  <si>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</si>
  <si>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</si>
  <si>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</si>
  <si>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</si>
  <si>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</si>
  <si>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</si>
  <si>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</si>
  <si>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</si>
  <si>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</si>
  <si>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</si>
  <si>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</si>
  <si>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</si>
  <si>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</si>
  <si>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</si>
  <si>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</si>
  <si>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</si>
  <si>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</si>
  <si>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</si>
  <si>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</si>
  <si>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</si>
  <si>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</si>
  <si>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</si>
  <si>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</si>
  <si>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</si>
  <si>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</si>
  <si>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</si>
  <si>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</si>
  <si>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</si>
  <si>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</si>
  <si>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</si>
  <si>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</si>
  <si>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</si>
  <si>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</si>
  <si>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</si>
  <si>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</si>
  <si>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</si>
  <si>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</si>
  <si>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</si>
  <si>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</si>
  <si>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</si>
  <si>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</si>
  <si>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</si>
  <si>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</si>
  <si>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</si>
  <si>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</si>
  <si>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</si>
  <si>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</si>
  <si>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</si>
  <si>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</si>
  <si>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</si>
  <si>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</si>
  <si>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</si>
  <si>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</si>
  <si>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</si>
  <si>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</si>
  <si>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</si>
  <si>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</si>
  <si>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</si>
  <si>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</si>
  <si>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</si>
  <si>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</si>
  <si>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</si>
  <si>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</si>
  <si>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</si>
  <si>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</si>
  <si>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</si>
  <si>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</si>
  <si>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</si>
  <si>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</si>
  <si>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</si>
  <si>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</si>
  <si>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</si>
  <si>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</si>
  <si>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</si>
  <si>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</si>
  <si>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</si>
  <si>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</si>
  <si>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</si>
  <si>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</si>
  <si>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</si>
  <si>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</si>
  <si>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</si>
  <si>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</si>
  <si>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</si>
  <si>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</si>
  <si>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</si>
  <si>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</si>
  <si>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</si>
  <si>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</si>
  <si>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</si>
  <si>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</si>
  <si>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</si>
  <si>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</si>
  <si>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</si>
  <si>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</si>
  <si>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</si>
  <si>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</si>
  <si>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</si>
  <si>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</si>
  <si>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</si>
  <si>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</si>
  <si>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</si>
  <si>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</si>
  <si>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</si>
  <si>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</si>
  <si>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</si>
  <si>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</si>
  <si>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</si>
  <si>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</si>
  <si>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</si>
  <si>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</si>
  <si>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</si>
  <si>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</si>
  <si>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</si>
  <si>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</si>
  <si>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</si>
  <si>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</si>
  <si>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</si>
  <si>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</si>
  <si>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</si>
  <si>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</si>
  <si>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</si>
  <si>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</si>
  <si>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</si>
  <si>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</si>
  <si>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</si>
  <si>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</si>
  <si>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</si>
  <si>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</si>
  <si>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</si>
  <si>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</si>
  <si>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</si>
  <si>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</si>
  <si>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</si>
  <si>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</si>
  <si>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</si>
  <si>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</si>
  <si>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</si>
  <si>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</si>
  <si>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</si>
  <si>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</si>
  <si>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</si>
  <si>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</si>
  <si>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</si>
  <si>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</si>
  <si>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</si>
  <si>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</si>
  <si>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</si>
  <si>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</si>
  <si>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</si>
  <si>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</si>
  <si>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</si>
  <si>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</si>
  <si>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</si>
  <si>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</si>
  <si>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</si>
  <si>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</si>
  <si>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</si>
  <si>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</si>
  <si>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</si>
  <si>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</si>
  <si>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</si>
  <si>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</si>
  <si>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</si>
  <si>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</si>
  <si>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</si>
  <si>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</si>
  <si>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</si>
  <si>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</si>
  <si>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</si>
  <si>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</si>
  <si>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</si>
  <si>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</si>
  <si>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</si>
  <si>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</si>
  <si>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</si>
  <si>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</si>
  <si>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</si>
  <si>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</si>
  <si>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</si>
  <si>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</si>
  <si>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</si>
  <si>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</si>
  <si>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</si>
  <si>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</si>
  <si>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</si>
  <si>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</si>
  <si>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</si>
  <si>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</si>
  <si>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</si>
  <si>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</si>
  <si>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</si>
  <si>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</si>
  <si>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OrderID</t>
  </si>
  <si>
    <t>Date</t>
  </si>
  <si>
    <t>Product</t>
  </si>
  <si>
    <t>Category</t>
  </si>
  <si>
    <t>Region</t>
  </si>
  <si>
    <t>Sales</t>
  </si>
  <si>
    <t>Quantity</t>
  </si>
  <si>
    <t>Cost</t>
  </si>
  <si>
    <t>Months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</si>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</sst>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1" tint="0.1499679555650502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5 2" pivot="0" table="0" count="10" xr9:uid="{AA578672-56EB-4272-8065-863DD6881FB0}">
      <tableStyleElement type="wholeTable" dxfId="2"/>
      <tableStyleElement type="headerRow" dxfId="1"/>
    </tableStyle>
  </tableStyles>
  <colors>
    <mruColors>
      <color rgb="FF232457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sz val="9"/>
            <color theme="0"/>
          </font>
          <fill>
            <patternFill patternType="solid">
              <fgColor theme="1" tint="0.34998626667073579"/>
              <bgColor theme="7" tint="0.399914548173467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0" tint="-0.34998626667073579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TA!A1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image" Target="../media/image3.png"/><Relationship Id="rId5" Type="http://schemas.openxmlformats.org/officeDocument/2006/relationships/hyperlink" Target="#CALCULATIONS!A1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0</xdr:row>
      <xdr:rowOff>47625</xdr:rowOff>
    </xdr:from>
    <xdr:to>
      <xdr:col>17</xdr:col>
      <xdr:colOff>26357</xdr:colOff>
      <xdr:row>2</xdr:row>
      <xdr:rowOff>45015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5FF13A3-C2BF-43E0-AD4F-63DB059C4132}"/>
            </a:ext>
          </a:extLst>
        </xdr:cNvPr>
        <xdr:cNvSpPr/>
      </xdr:nvSpPr>
      <xdr:spPr>
        <a:xfrm>
          <a:off x="9001125" y="47625"/>
          <a:ext cx="4084007" cy="378390"/>
        </a:xfrm>
        <a:prstGeom prst="roundRect">
          <a:avLst>
            <a:gd name="adj" fmla="val 29167"/>
          </a:avLst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10</xdr:col>
      <xdr:colOff>561949</xdr:colOff>
      <xdr:row>0</xdr:row>
      <xdr:rowOff>119338</xdr:rowOff>
    </xdr:from>
    <xdr:to>
      <xdr:col>11</xdr:col>
      <xdr:colOff>174061</xdr:colOff>
      <xdr:row>1</xdr:row>
      <xdr:rowOff>141025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FFA64D-AD51-4F3C-B9A4-EAE273B8B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24" y="119338"/>
          <a:ext cx="221712" cy="212187"/>
        </a:xfrm>
        <a:prstGeom prst="rect">
          <a:avLst/>
        </a:prstGeom>
      </xdr:spPr>
    </xdr:pic>
    <xdr:clientData/>
  </xdr:twoCellAnchor>
  <xdr:twoCellAnchor editAs="oneCell">
    <xdr:from>
      <xdr:col>16</xdr:col>
      <xdr:colOff>159759</xdr:colOff>
      <xdr:row>0</xdr:row>
      <xdr:rowOff>119338</xdr:rowOff>
    </xdr:from>
    <xdr:to>
      <xdr:col>16</xdr:col>
      <xdr:colOff>381471</xdr:colOff>
      <xdr:row>1</xdr:row>
      <xdr:rowOff>150550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AC255E-F1E8-4DDA-AEB0-311D77469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8934" y="119338"/>
          <a:ext cx="221712" cy="221712"/>
        </a:xfrm>
        <a:prstGeom prst="rect">
          <a:avLst/>
        </a:prstGeom>
      </xdr:spPr>
    </xdr:pic>
    <xdr:clientData/>
  </xdr:twoCellAnchor>
  <xdr:twoCellAnchor editAs="oneCell">
    <xdr:from>
      <xdr:col>13</xdr:col>
      <xdr:colOff>360854</xdr:colOff>
      <xdr:row>0</xdr:row>
      <xdr:rowOff>119338</xdr:rowOff>
    </xdr:from>
    <xdr:to>
      <xdr:col>13</xdr:col>
      <xdr:colOff>582566</xdr:colOff>
      <xdr:row>1</xdr:row>
      <xdr:rowOff>141025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0CFD9F-1803-4F0E-B665-A56142270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1229" y="119338"/>
          <a:ext cx="221712" cy="21218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5C5D4-4185-47F2-A79F-97C28DAB65D8}" name="Table1" displayName="Table1" ref="A1:J301" totalsRowShown="0">
  <autoFilter ref="A1:J301" xr:uid="{0625C5D4-4185-47F2-A79F-97C28DAB65D8}"/>
  <tableColumns count="10">
    <tableColumn id="1" xr3:uid="{562AA42D-35E3-4A50-80EA-9CF6B3E821BF}" name="OrderID"/>
    <tableColumn id="2" xr3:uid="{F4E11FBC-E37E-4CA4-9BCF-E82D1BCB364A}" name="Date" dataDxfId="0"/>
    <tableColumn id="9" xr3:uid="{4343D482-ABA8-493A-A69F-59FE887659D9}" name="Months">
      <calculatedColumnFormula>TEXT(Table1[[#This Row],[Date]],"mmm")</calculatedColumnFormula>
    </tableColumn>
    <tableColumn id="10" xr3:uid="{429BD208-3F86-4C7E-8673-A063E8BD1244}" name="Year">
      <calculatedColumnFormula>TEXT(Table1[[#This Row],[Date]],"yyyy")</calculatedColumnFormula>
    </tableColumn>
    <tableColumn id="3" xr3:uid="{A127804C-09FE-41DA-9223-B03817FA9C00}" name="Product"/>
    <tableColumn id="4" xr3:uid="{AAAB98AA-B150-407B-9471-DA8A2A02B417}" name="Category"/>
    <tableColumn id="5" xr3:uid="{B60656C6-D954-49ED-AB0E-7A730D42BD83}" name="Region"/>
    <tableColumn id="6" xr3:uid="{31AC1CBB-2683-484E-862F-368A734572A7}" name="Sales"/>
    <tableColumn id="7" xr3:uid="{9895CF01-46A6-4405-8CDC-4F7ACD52D5FA}" name="Quantity"/>
    <tableColumn id="8" xr3:uid="{3970CFEC-F857-4159-9DFC-49E556C82854}" name="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4170-E37E-42A7-B588-88A5BBB66A06}">
  <dimension ref="A1:J301"/>
  <sheetViews>
    <sheetView tabSelected="1" workbookViewId="0">
      <selection activeCell="H22" sqref="H22"/>
    </sheetView>
  </sheetViews>
  <sheetFormatPr defaultRowHeight="15" x14ac:dyDescent="0.25"/>
  <cols>
    <col min="1" max="1" width="14.85546875" bestFit="1" customWidth="1"/>
    <col min="2" max="2" width="11" style="1" bestFit="1" customWidth="1"/>
    <col min="3" max="4" width="11" customWidth="1"/>
    <col min="5" max="5" width="14.85546875" bestFit="1" customWidth="1"/>
    <col min="6" max="6" width="16.140625" bestFit="1" customWidth="1"/>
    <col min="7" max="7" width="13.5703125" bestFit="1" customWidth="1"/>
    <col min="8" max="8" width="12.28515625" bestFit="1" customWidth="1"/>
    <col min="9" max="9" width="16.140625" bestFit="1" customWidth="1"/>
    <col min="10" max="10" width="7.5703125" bestFit="1" customWidth="1"/>
  </cols>
  <sheetData>
    <row r="1" spans="1:10" x14ac:dyDescent="0.25">
      <c r="A1" t="s">
        <v>312</v>
      </c>
      <c r="B1" s="1" t="s">
        <v>313</v>
      </c>
      <c r="C1" t="s">
        <v>320</v>
      </c>
      <c r="D1" t="s">
        <v>321</v>
      </c>
      <c r="E1" t="s">
        <v>314</v>
      </c>
      <c r="F1" t="s">
        <v>315</v>
      </c>
      <c r="G1" t="s">
        <v>316</v>
      </c>
      <c r="H1" t="s">
        <v>317</v>
      </c>
      <c r="I1" t="s">
        <v>318</v>
      </c>
      <c r="J1" t="s">
        <v>319</v>
      </c>
    </row>
    <row r="2" spans="1:10" x14ac:dyDescent="0.25">
      <c r="A2" t="s">
        <v>0</v>
      </c>
      <c r="B2" s="1">
        <v>44952</v>
      </c>
      <c r="C2" t="str">
        <f>TEXT(Table1[[#This Row],[Date]],"mmm")</f>
        <v>Jan</v>
      </c>
      <c r="D2" t="str">
        <f>TEXT(Table1[[#This Row],[Date]],"yyyy")</f>
        <v>2023</v>
      </c>
      <c r="E2" t="s">
        <v>1</v>
      </c>
      <c r="F2" t="s">
        <v>2</v>
      </c>
      <c r="G2" t="s">
        <v>3</v>
      </c>
      <c r="H2">
        <v>1219.5</v>
      </c>
      <c r="I2">
        <v>5</v>
      </c>
      <c r="J2">
        <v>211.02</v>
      </c>
    </row>
    <row r="3" spans="1:10" x14ac:dyDescent="0.25">
      <c r="A3" t="s">
        <v>4</v>
      </c>
      <c r="B3" s="1">
        <v>45531</v>
      </c>
      <c r="C3" t="str">
        <f>TEXT(Table1[[#This Row],[Date]],"mmm")</f>
        <v>Aug</v>
      </c>
      <c r="D3" t="str">
        <f>TEXT(Table1[[#This Row],[Date]],"yyyy")</f>
        <v>2024</v>
      </c>
      <c r="E3" t="s">
        <v>5</v>
      </c>
      <c r="F3" t="s">
        <v>2</v>
      </c>
      <c r="G3" t="s">
        <v>3</v>
      </c>
      <c r="H3">
        <v>356.63</v>
      </c>
      <c r="I3">
        <v>7</v>
      </c>
      <c r="J3">
        <v>44.79</v>
      </c>
    </row>
    <row r="4" spans="1:10" x14ac:dyDescent="0.25">
      <c r="A4" t="s">
        <v>6</v>
      </c>
      <c r="B4" s="1">
        <v>45501</v>
      </c>
      <c r="C4" t="str">
        <f>TEXT(Table1[[#This Row],[Date]],"mmm")</f>
        <v>Jul</v>
      </c>
      <c r="D4" t="str">
        <f>TEXT(Table1[[#This Row],[Date]],"yyyy")</f>
        <v>2024</v>
      </c>
      <c r="E4" t="s">
        <v>7</v>
      </c>
      <c r="F4" t="s">
        <v>8</v>
      </c>
      <c r="G4" t="s">
        <v>3</v>
      </c>
      <c r="H4">
        <v>3194.55</v>
      </c>
      <c r="I4">
        <v>4</v>
      </c>
      <c r="J4">
        <v>578.5</v>
      </c>
    </row>
    <row r="5" spans="1:10" x14ac:dyDescent="0.25">
      <c r="A5" t="s">
        <v>9</v>
      </c>
      <c r="B5" s="1">
        <v>45386</v>
      </c>
      <c r="C5" t="str">
        <f>TEXT(Table1[[#This Row],[Date]],"mmm")</f>
        <v>Apr</v>
      </c>
      <c r="D5" t="str">
        <f>TEXT(Table1[[#This Row],[Date]],"yyyy")</f>
        <v>2024</v>
      </c>
      <c r="E5" t="s">
        <v>10</v>
      </c>
      <c r="F5" t="s">
        <v>2</v>
      </c>
      <c r="G5" t="s">
        <v>11</v>
      </c>
      <c r="H5">
        <v>3430.95</v>
      </c>
      <c r="I5">
        <v>10</v>
      </c>
      <c r="J5">
        <v>236.99</v>
      </c>
    </row>
    <row r="6" spans="1:10" x14ac:dyDescent="0.25">
      <c r="A6" t="s">
        <v>12</v>
      </c>
      <c r="B6" s="1">
        <v>45275</v>
      </c>
      <c r="C6" t="str">
        <f>TEXT(Table1[[#This Row],[Date]],"mmm")</f>
        <v>Dec</v>
      </c>
      <c r="D6" t="str">
        <f>TEXT(Table1[[#This Row],[Date]],"yyyy")</f>
        <v>2023</v>
      </c>
      <c r="E6" t="s">
        <v>7</v>
      </c>
      <c r="F6" t="s">
        <v>8</v>
      </c>
      <c r="G6" t="s">
        <v>13</v>
      </c>
      <c r="H6">
        <v>1047.44</v>
      </c>
      <c r="I6">
        <v>5</v>
      </c>
      <c r="J6">
        <v>141.27000000000001</v>
      </c>
    </row>
    <row r="7" spans="1:10" x14ac:dyDescent="0.25">
      <c r="A7" t="s">
        <v>14</v>
      </c>
      <c r="B7" s="1">
        <v>45021</v>
      </c>
      <c r="C7" t="str">
        <f>TEXT(Table1[[#This Row],[Date]],"mmm")</f>
        <v>Apr</v>
      </c>
      <c r="D7" t="str">
        <f>TEXT(Table1[[#This Row],[Date]],"yyyy")</f>
        <v>2023</v>
      </c>
      <c r="E7" t="s">
        <v>15</v>
      </c>
      <c r="F7" t="s">
        <v>8</v>
      </c>
      <c r="G7" t="s">
        <v>3</v>
      </c>
      <c r="H7">
        <v>961.37</v>
      </c>
      <c r="I7">
        <v>7</v>
      </c>
      <c r="J7">
        <v>95.44</v>
      </c>
    </row>
    <row r="8" spans="1:10" x14ac:dyDescent="0.25">
      <c r="A8" t="s">
        <v>16</v>
      </c>
      <c r="B8" s="1">
        <v>44971</v>
      </c>
      <c r="C8" t="str">
        <f>TEXT(Table1[[#This Row],[Date]],"mmm")</f>
        <v>Feb</v>
      </c>
      <c r="D8" t="str">
        <f>TEXT(Table1[[#This Row],[Date]],"yyyy")</f>
        <v>2023</v>
      </c>
      <c r="E8" t="s">
        <v>17</v>
      </c>
      <c r="F8" t="s">
        <v>8</v>
      </c>
      <c r="G8" t="s">
        <v>18</v>
      </c>
      <c r="H8">
        <v>5221.42</v>
      </c>
      <c r="I8">
        <v>8</v>
      </c>
      <c r="J8">
        <v>438.26</v>
      </c>
    </row>
    <row r="9" spans="1:10" x14ac:dyDescent="0.25">
      <c r="A9" t="s">
        <v>19</v>
      </c>
      <c r="B9" s="1">
        <v>45492</v>
      </c>
      <c r="C9" t="str">
        <f>TEXT(Table1[[#This Row],[Date]],"mmm")</f>
        <v>Jul</v>
      </c>
      <c r="D9" t="str">
        <f>TEXT(Table1[[#This Row],[Date]],"yyyy")</f>
        <v>2024</v>
      </c>
      <c r="E9" t="s">
        <v>10</v>
      </c>
      <c r="F9" t="s">
        <v>2</v>
      </c>
      <c r="G9" t="s">
        <v>3</v>
      </c>
      <c r="H9">
        <v>4493.2</v>
      </c>
      <c r="I9">
        <v>5</v>
      </c>
      <c r="J9">
        <v>666.94</v>
      </c>
    </row>
    <row r="10" spans="1:10" x14ac:dyDescent="0.25">
      <c r="A10" t="s">
        <v>20</v>
      </c>
      <c r="B10" s="1">
        <v>45648</v>
      </c>
      <c r="C10" t="str">
        <f>TEXT(Table1[[#This Row],[Date]],"mmm")</f>
        <v>Dec</v>
      </c>
      <c r="D10" t="str">
        <f>TEXT(Table1[[#This Row],[Date]],"yyyy")</f>
        <v>2024</v>
      </c>
      <c r="E10" t="s">
        <v>15</v>
      </c>
      <c r="F10" t="s">
        <v>8</v>
      </c>
      <c r="G10" t="s">
        <v>11</v>
      </c>
      <c r="H10">
        <v>132.79</v>
      </c>
      <c r="I10">
        <v>2</v>
      </c>
      <c r="J10">
        <v>55.74</v>
      </c>
    </row>
    <row r="11" spans="1:10" x14ac:dyDescent="0.25">
      <c r="A11" t="s">
        <v>21</v>
      </c>
      <c r="B11" s="1">
        <v>45165</v>
      </c>
      <c r="C11" t="str">
        <f>TEXT(Table1[[#This Row],[Date]],"mmm")</f>
        <v>Aug</v>
      </c>
      <c r="D11" t="str">
        <f>TEXT(Table1[[#This Row],[Date]],"yyyy")</f>
        <v>2023</v>
      </c>
      <c r="E11" t="s">
        <v>15</v>
      </c>
      <c r="F11" t="s">
        <v>8</v>
      </c>
      <c r="G11" t="s">
        <v>3</v>
      </c>
      <c r="H11">
        <v>811.1</v>
      </c>
      <c r="I11">
        <v>2</v>
      </c>
      <c r="J11">
        <v>316.5</v>
      </c>
    </row>
    <row r="12" spans="1:10" x14ac:dyDescent="0.25">
      <c r="A12" t="s">
        <v>22</v>
      </c>
      <c r="B12" s="1">
        <v>45306</v>
      </c>
      <c r="C12" t="str">
        <f>TEXT(Table1[[#This Row],[Date]],"mmm")</f>
        <v>Jan</v>
      </c>
      <c r="D12" t="str">
        <f>TEXT(Table1[[#This Row],[Date]],"yyyy")</f>
        <v>2024</v>
      </c>
      <c r="E12" t="s">
        <v>15</v>
      </c>
      <c r="F12" t="s">
        <v>8</v>
      </c>
      <c r="G12" t="s">
        <v>11</v>
      </c>
      <c r="H12">
        <v>1328.1</v>
      </c>
      <c r="I12">
        <v>6</v>
      </c>
      <c r="J12">
        <v>183.42</v>
      </c>
    </row>
    <row r="13" spans="1:10" x14ac:dyDescent="0.25">
      <c r="A13" t="s">
        <v>23</v>
      </c>
      <c r="B13" s="1">
        <v>45550</v>
      </c>
      <c r="C13" t="str">
        <f>TEXT(Table1[[#This Row],[Date]],"mmm")</f>
        <v>Sep</v>
      </c>
      <c r="D13" t="str">
        <f>TEXT(Table1[[#This Row],[Date]],"yyyy")</f>
        <v>2024</v>
      </c>
      <c r="E13" t="s">
        <v>1</v>
      </c>
      <c r="F13" t="s">
        <v>2</v>
      </c>
      <c r="G13" t="s">
        <v>3</v>
      </c>
      <c r="H13">
        <v>1569.15</v>
      </c>
      <c r="I13">
        <v>3</v>
      </c>
      <c r="J13">
        <v>436.63</v>
      </c>
    </row>
    <row r="14" spans="1:10" x14ac:dyDescent="0.25">
      <c r="A14" t="s">
        <v>24</v>
      </c>
      <c r="B14" s="1">
        <v>45203</v>
      </c>
      <c r="C14" t="str">
        <f>TEXT(Table1[[#This Row],[Date]],"mmm")</f>
        <v>Oct</v>
      </c>
      <c r="D14" t="str">
        <f>TEXT(Table1[[#This Row],[Date]],"yyyy")</f>
        <v>2023</v>
      </c>
      <c r="E14" t="s">
        <v>10</v>
      </c>
      <c r="F14" t="s">
        <v>2</v>
      </c>
      <c r="G14" t="s">
        <v>13</v>
      </c>
      <c r="H14">
        <v>2117.1999999999998</v>
      </c>
      <c r="I14">
        <v>9</v>
      </c>
      <c r="J14">
        <v>191.3</v>
      </c>
    </row>
    <row r="15" spans="1:10" x14ac:dyDescent="0.25">
      <c r="A15" t="s">
        <v>25</v>
      </c>
      <c r="B15" s="1">
        <v>44959</v>
      </c>
      <c r="C15" t="str">
        <f>TEXT(Table1[[#This Row],[Date]],"mmm")</f>
        <v>Feb</v>
      </c>
      <c r="D15" t="str">
        <f>TEXT(Table1[[#This Row],[Date]],"yyyy")</f>
        <v>2023</v>
      </c>
      <c r="E15" t="s">
        <v>5</v>
      </c>
      <c r="F15" t="s">
        <v>2</v>
      </c>
      <c r="G15" t="s">
        <v>11</v>
      </c>
      <c r="H15">
        <v>2250.09</v>
      </c>
      <c r="I15">
        <v>6</v>
      </c>
      <c r="J15">
        <v>332.91</v>
      </c>
    </row>
    <row r="16" spans="1:10" x14ac:dyDescent="0.25">
      <c r="A16" t="s">
        <v>26</v>
      </c>
      <c r="B16" s="1">
        <v>45144</v>
      </c>
      <c r="C16" t="str">
        <f>TEXT(Table1[[#This Row],[Date]],"mmm")</f>
        <v>Aug</v>
      </c>
      <c r="D16" t="str">
        <f>TEXT(Table1[[#This Row],[Date]],"yyyy")</f>
        <v>2023</v>
      </c>
      <c r="E16" t="s">
        <v>17</v>
      </c>
      <c r="F16" t="s">
        <v>8</v>
      </c>
      <c r="G16" t="s">
        <v>18</v>
      </c>
      <c r="H16">
        <v>3853.23</v>
      </c>
      <c r="I16">
        <v>8</v>
      </c>
      <c r="J16">
        <v>328.59</v>
      </c>
    </row>
    <row r="17" spans="1:10" x14ac:dyDescent="0.25">
      <c r="A17" t="s">
        <v>27</v>
      </c>
      <c r="B17" s="1">
        <v>45198</v>
      </c>
      <c r="C17" t="str">
        <f>TEXT(Table1[[#This Row],[Date]],"mmm")</f>
        <v>Sep</v>
      </c>
      <c r="D17" t="str">
        <f>TEXT(Table1[[#This Row],[Date]],"yyyy")</f>
        <v>2023</v>
      </c>
      <c r="E17" t="s">
        <v>10</v>
      </c>
      <c r="F17" t="s">
        <v>2</v>
      </c>
      <c r="G17" t="s">
        <v>11</v>
      </c>
      <c r="H17">
        <v>843.88</v>
      </c>
      <c r="I17">
        <v>3</v>
      </c>
      <c r="J17">
        <v>212.37</v>
      </c>
    </row>
    <row r="18" spans="1:10" x14ac:dyDescent="0.25">
      <c r="A18" t="s">
        <v>28</v>
      </c>
      <c r="B18" s="1">
        <v>45524</v>
      </c>
      <c r="C18" t="str">
        <f>TEXT(Table1[[#This Row],[Date]],"mmm")</f>
        <v>Aug</v>
      </c>
      <c r="D18" t="str">
        <f>TEXT(Table1[[#This Row],[Date]],"yyyy")</f>
        <v>2024</v>
      </c>
      <c r="E18" t="s">
        <v>15</v>
      </c>
      <c r="F18" t="s">
        <v>8</v>
      </c>
      <c r="G18" t="s">
        <v>13</v>
      </c>
      <c r="H18">
        <v>3172.52</v>
      </c>
      <c r="I18">
        <v>7</v>
      </c>
      <c r="J18">
        <v>302.36</v>
      </c>
    </row>
    <row r="19" spans="1:10" x14ac:dyDescent="0.25">
      <c r="A19" t="s">
        <v>29</v>
      </c>
      <c r="B19" s="1">
        <v>45020</v>
      </c>
      <c r="C19" t="str">
        <f>TEXT(Table1[[#This Row],[Date]],"mmm")</f>
        <v>Apr</v>
      </c>
      <c r="D19" t="str">
        <f>TEXT(Table1[[#This Row],[Date]],"yyyy")</f>
        <v>2023</v>
      </c>
      <c r="E19" t="s">
        <v>7</v>
      </c>
      <c r="F19" t="s">
        <v>8</v>
      </c>
      <c r="G19" t="s">
        <v>13</v>
      </c>
      <c r="H19">
        <v>803.11</v>
      </c>
      <c r="I19">
        <v>1</v>
      </c>
      <c r="J19">
        <v>691.66</v>
      </c>
    </row>
    <row r="20" spans="1:10" x14ac:dyDescent="0.25">
      <c r="A20" t="s">
        <v>30</v>
      </c>
      <c r="B20" s="1">
        <v>45537</v>
      </c>
      <c r="C20" t="str">
        <f>TEXT(Table1[[#This Row],[Date]],"mmm")</f>
        <v>Sep</v>
      </c>
      <c r="D20" t="str">
        <f>TEXT(Table1[[#This Row],[Date]],"yyyy")</f>
        <v>2024</v>
      </c>
      <c r="E20" t="s">
        <v>7</v>
      </c>
      <c r="F20" t="s">
        <v>8</v>
      </c>
      <c r="G20" t="s">
        <v>13</v>
      </c>
      <c r="H20">
        <v>856.87</v>
      </c>
      <c r="I20">
        <v>2</v>
      </c>
      <c r="J20">
        <v>320.12</v>
      </c>
    </row>
    <row r="21" spans="1:10" x14ac:dyDescent="0.25">
      <c r="A21" t="s">
        <v>31</v>
      </c>
      <c r="B21" s="1">
        <v>45493</v>
      </c>
      <c r="C21" t="str">
        <f>TEXT(Table1[[#This Row],[Date]],"mmm")</f>
        <v>Jul</v>
      </c>
      <c r="D21" t="str">
        <f>TEXT(Table1[[#This Row],[Date]],"yyyy")</f>
        <v>2024</v>
      </c>
      <c r="E21" t="s">
        <v>10</v>
      </c>
      <c r="F21" t="s">
        <v>2</v>
      </c>
      <c r="G21" t="s">
        <v>18</v>
      </c>
      <c r="H21">
        <v>630.91</v>
      </c>
      <c r="I21">
        <v>1</v>
      </c>
      <c r="J21">
        <v>550.62</v>
      </c>
    </row>
    <row r="22" spans="1:10" x14ac:dyDescent="0.25">
      <c r="A22" t="s">
        <v>32</v>
      </c>
      <c r="B22" s="1">
        <v>45583</v>
      </c>
      <c r="C22" t="str">
        <f>TEXT(Table1[[#This Row],[Date]],"mmm")</f>
        <v>Oct</v>
      </c>
      <c r="D22" t="str">
        <f>TEXT(Table1[[#This Row],[Date]],"yyyy")</f>
        <v>2024</v>
      </c>
      <c r="E22" t="s">
        <v>17</v>
      </c>
      <c r="F22" t="s">
        <v>8</v>
      </c>
      <c r="G22" t="s">
        <v>18</v>
      </c>
      <c r="H22">
        <v>817.92</v>
      </c>
      <c r="I22">
        <v>6</v>
      </c>
      <c r="J22">
        <v>107.01</v>
      </c>
    </row>
    <row r="23" spans="1:10" x14ac:dyDescent="0.25">
      <c r="A23" t="s">
        <v>33</v>
      </c>
      <c r="B23" s="1">
        <v>45196</v>
      </c>
      <c r="C23" t="str">
        <f>TEXT(Table1[[#This Row],[Date]],"mmm")</f>
        <v>Sep</v>
      </c>
      <c r="D23" t="str">
        <f>TEXT(Table1[[#This Row],[Date]],"yyyy")</f>
        <v>2023</v>
      </c>
      <c r="E23" t="s">
        <v>10</v>
      </c>
      <c r="F23" t="s">
        <v>2</v>
      </c>
      <c r="G23" t="s">
        <v>3</v>
      </c>
      <c r="H23">
        <v>7204.65</v>
      </c>
      <c r="I23">
        <v>9</v>
      </c>
      <c r="J23">
        <v>614.33000000000004</v>
      </c>
    </row>
    <row r="24" spans="1:10" x14ac:dyDescent="0.25">
      <c r="A24" t="s">
        <v>34</v>
      </c>
      <c r="B24" s="1">
        <v>45581</v>
      </c>
      <c r="C24" t="str">
        <f>TEXT(Table1[[#This Row],[Date]],"mmm")</f>
        <v>Oct</v>
      </c>
      <c r="D24" t="str">
        <f>TEXT(Table1[[#This Row],[Date]],"yyyy")</f>
        <v>2024</v>
      </c>
      <c r="E24" t="s">
        <v>5</v>
      </c>
      <c r="F24" t="s">
        <v>2</v>
      </c>
      <c r="G24" t="s">
        <v>18</v>
      </c>
      <c r="H24">
        <v>5172.8599999999997</v>
      </c>
      <c r="I24">
        <v>9</v>
      </c>
      <c r="J24">
        <v>495</v>
      </c>
    </row>
    <row r="25" spans="1:10" x14ac:dyDescent="0.25">
      <c r="A25" t="s">
        <v>35</v>
      </c>
      <c r="B25" s="1">
        <v>45540</v>
      </c>
      <c r="C25" t="str">
        <f>TEXT(Table1[[#This Row],[Date]],"mmm")</f>
        <v>Sep</v>
      </c>
      <c r="D25" t="str">
        <f>TEXT(Table1[[#This Row],[Date]],"yyyy")</f>
        <v>2024</v>
      </c>
      <c r="E25" t="s">
        <v>7</v>
      </c>
      <c r="F25" t="s">
        <v>8</v>
      </c>
      <c r="G25" t="s">
        <v>3</v>
      </c>
      <c r="H25">
        <v>2755.02</v>
      </c>
      <c r="I25">
        <v>6</v>
      </c>
      <c r="J25">
        <v>401.11</v>
      </c>
    </row>
    <row r="26" spans="1:10" x14ac:dyDescent="0.25">
      <c r="A26" t="s">
        <v>36</v>
      </c>
      <c r="B26" s="1">
        <v>45172</v>
      </c>
      <c r="C26" t="str">
        <f>TEXT(Table1[[#This Row],[Date]],"mmm")</f>
        <v>Sep</v>
      </c>
      <c r="D26" t="str">
        <f>TEXT(Table1[[#This Row],[Date]],"yyyy")</f>
        <v>2023</v>
      </c>
      <c r="E26" t="s">
        <v>15</v>
      </c>
      <c r="F26" t="s">
        <v>8</v>
      </c>
      <c r="G26" t="s">
        <v>18</v>
      </c>
      <c r="H26">
        <v>275.83999999999997</v>
      </c>
      <c r="I26">
        <v>1</v>
      </c>
      <c r="J26">
        <v>207.88</v>
      </c>
    </row>
    <row r="27" spans="1:10" x14ac:dyDescent="0.25">
      <c r="A27" t="s">
        <v>37</v>
      </c>
      <c r="B27" s="1">
        <v>45424</v>
      </c>
      <c r="C27" t="str">
        <f>TEXT(Table1[[#This Row],[Date]],"mmm")</f>
        <v>May</v>
      </c>
      <c r="D27" t="str">
        <f>TEXT(Table1[[#This Row],[Date]],"yyyy")</f>
        <v>2024</v>
      </c>
      <c r="E27" t="s">
        <v>5</v>
      </c>
      <c r="F27" t="s">
        <v>2</v>
      </c>
      <c r="G27" t="s">
        <v>3</v>
      </c>
      <c r="H27">
        <v>2055.84</v>
      </c>
      <c r="I27">
        <v>2</v>
      </c>
      <c r="J27">
        <v>782.83</v>
      </c>
    </row>
    <row r="28" spans="1:10" x14ac:dyDescent="0.25">
      <c r="A28" t="s">
        <v>38</v>
      </c>
      <c r="B28" s="1">
        <v>45602</v>
      </c>
      <c r="C28" t="str">
        <f>TEXT(Table1[[#This Row],[Date]],"mmm")</f>
        <v>Nov</v>
      </c>
      <c r="D28" t="str">
        <f>TEXT(Table1[[#This Row],[Date]],"yyyy")</f>
        <v>2024</v>
      </c>
      <c r="E28" t="s">
        <v>7</v>
      </c>
      <c r="F28" t="s">
        <v>8</v>
      </c>
      <c r="G28" t="s">
        <v>11</v>
      </c>
      <c r="H28">
        <v>7075.97</v>
      </c>
      <c r="I28">
        <v>8</v>
      </c>
      <c r="J28">
        <v>758.54</v>
      </c>
    </row>
    <row r="29" spans="1:10" x14ac:dyDescent="0.25">
      <c r="A29" t="s">
        <v>39</v>
      </c>
      <c r="B29" s="1">
        <v>45143</v>
      </c>
      <c r="C29" t="str">
        <f>TEXT(Table1[[#This Row],[Date]],"mmm")</f>
        <v>Aug</v>
      </c>
      <c r="D29" t="str">
        <f>TEXT(Table1[[#This Row],[Date]],"yyyy")</f>
        <v>2023</v>
      </c>
      <c r="E29" t="s">
        <v>17</v>
      </c>
      <c r="F29" t="s">
        <v>8</v>
      </c>
      <c r="G29" t="s">
        <v>13</v>
      </c>
      <c r="H29">
        <v>7542.93</v>
      </c>
      <c r="I29">
        <v>9</v>
      </c>
      <c r="J29">
        <v>609.11</v>
      </c>
    </row>
    <row r="30" spans="1:10" x14ac:dyDescent="0.25">
      <c r="A30" t="s">
        <v>40</v>
      </c>
      <c r="B30" s="1">
        <v>45335</v>
      </c>
      <c r="C30" t="str">
        <f>TEXT(Table1[[#This Row],[Date]],"mmm")</f>
        <v>Feb</v>
      </c>
      <c r="D30" t="str">
        <f>TEXT(Table1[[#This Row],[Date]],"yyyy")</f>
        <v>2024</v>
      </c>
      <c r="E30" t="s">
        <v>1</v>
      </c>
      <c r="F30" t="s">
        <v>2</v>
      </c>
      <c r="G30" t="s">
        <v>18</v>
      </c>
      <c r="H30">
        <v>2836.67</v>
      </c>
      <c r="I30">
        <v>6</v>
      </c>
      <c r="J30">
        <v>361.72</v>
      </c>
    </row>
    <row r="31" spans="1:10" x14ac:dyDescent="0.25">
      <c r="A31" t="s">
        <v>41</v>
      </c>
      <c r="B31" s="1">
        <v>45157</v>
      </c>
      <c r="C31" t="str">
        <f>TEXT(Table1[[#This Row],[Date]],"mmm")</f>
        <v>Aug</v>
      </c>
      <c r="D31" t="str">
        <f>TEXT(Table1[[#This Row],[Date]],"yyyy")</f>
        <v>2023</v>
      </c>
      <c r="E31" t="s">
        <v>5</v>
      </c>
      <c r="F31" t="s">
        <v>2</v>
      </c>
      <c r="G31" t="s">
        <v>11</v>
      </c>
      <c r="H31">
        <v>757.69</v>
      </c>
      <c r="I31">
        <v>2</v>
      </c>
      <c r="J31">
        <v>283.70999999999998</v>
      </c>
    </row>
    <row r="32" spans="1:10" x14ac:dyDescent="0.25">
      <c r="A32" t="s">
        <v>42</v>
      </c>
      <c r="B32" s="1">
        <v>44934</v>
      </c>
      <c r="C32" t="str">
        <f>TEXT(Table1[[#This Row],[Date]],"mmm")</f>
        <v>Jan</v>
      </c>
      <c r="D32" t="str">
        <f>TEXT(Table1[[#This Row],[Date]],"yyyy")</f>
        <v>2023</v>
      </c>
      <c r="E32" t="s">
        <v>7</v>
      </c>
      <c r="F32" t="s">
        <v>8</v>
      </c>
      <c r="G32" t="s">
        <v>11</v>
      </c>
      <c r="H32">
        <v>1285.6099999999999</v>
      </c>
      <c r="I32">
        <v>2</v>
      </c>
      <c r="J32">
        <v>572.12</v>
      </c>
    </row>
    <row r="33" spans="1:10" x14ac:dyDescent="0.25">
      <c r="A33" t="s">
        <v>43</v>
      </c>
      <c r="B33" s="1">
        <v>45265</v>
      </c>
      <c r="C33" t="str">
        <f>TEXT(Table1[[#This Row],[Date]],"mmm")</f>
        <v>Dec</v>
      </c>
      <c r="D33" t="str">
        <f>TEXT(Table1[[#This Row],[Date]],"yyyy")</f>
        <v>2023</v>
      </c>
      <c r="E33" t="s">
        <v>5</v>
      </c>
      <c r="F33" t="s">
        <v>2</v>
      </c>
      <c r="G33" t="s">
        <v>3</v>
      </c>
      <c r="H33">
        <v>1020.09</v>
      </c>
      <c r="I33">
        <v>2</v>
      </c>
      <c r="J33">
        <v>421.04</v>
      </c>
    </row>
    <row r="34" spans="1:10" x14ac:dyDescent="0.25">
      <c r="A34" t="s">
        <v>44</v>
      </c>
      <c r="B34" s="1">
        <v>45479</v>
      </c>
      <c r="C34" t="str">
        <f>TEXT(Table1[[#This Row],[Date]],"mmm")</f>
        <v>Jul</v>
      </c>
      <c r="D34" t="str">
        <f>TEXT(Table1[[#This Row],[Date]],"yyyy")</f>
        <v>2024</v>
      </c>
      <c r="E34" t="s">
        <v>10</v>
      </c>
      <c r="F34" t="s">
        <v>2</v>
      </c>
      <c r="G34" t="s">
        <v>11</v>
      </c>
      <c r="H34">
        <v>2546.5300000000002</v>
      </c>
      <c r="I34">
        <v>3</v>
      </c>
      <c r="J34">
        <v>584.22</v>
      </c>
    </row>
    <row r="35" spans="1:10" x14ac:dyDescent="0.25">
      <c r="A35" t="s">
        <v>45</v>
      </c>
      <c r="B35" s="1">
        <v>45175</v>
      </c>
      <c r="C35" t="str">
        <f>TEXT(Table1[[#This Row],[Date]],"mmm")</f>
        <v>Sep</v>
      </c>
      <c r="D35" t="str">
        <f>TEXT(Table1[[#This Row],[Date]],"yyyy")</f>
        <v>2023</v>
      </c>
      <c r="E35" t="s">
        <v>17</v>
      </c>
      <c r="F35" t="s">
        <v>8</v>
      </c>
      <c r="G35" t="s">
        <v>13</v>
      </c>
      <c r="H35">
        <v>6114.64</v>
      </c>
      <c r="I35">
        <v>8</v>
      </c>
      <c r="J35">
        <v>649.85</v>
      </c>
    </row>
    <row r="36" spans="1:10" x14ac:dyDescent="0.25">
      <c r="A36" t="s">
        <v>46</v>
      </c>
      <c r="B36" s="1">
        <v>45289</v>
      </c>
      <c r="C36" t="str">
        <f>TEXT(Table1[[#This Row],[Date]],"mmm")</f>
        <v>Dec</v>
      </c>
      <c r="D36" t="str">
        <f>TEXT(Table1[[#This Row],[Date]],"yyyy")</f>
        <v>2023</v>
      </c>
      <c r="E36" t="s">
        <v>5</v>
      </c>
      <c r="F36" t="s">
        <v>2</v>
      </c>
      <c r="G36" t="s">
        <v>13</v>
      </c>
      <c r="H36">
        <v>3447.05</v>
      </c>
      <c r="I36">
        <v>7</v>
      </c>
      <c r="J36">
        <v>340.66</v>
      </c>
    </row>
    <row r="37" spans="1:10" x14ac:dyDescent="0.25">
      <c r="A37" t="s">
        <v>47</v>
      </c>
      <c r="B37" s="1">
        <v>44989</v>
      </c>
      <c r="C37" t="str">
        <f>TEXT(Table1[[#This Row],[Date]],"mmm")</f>
        <v>Mar</v>
      </c>
      <c r="D37" t="str">
        <f>TEXT(Table1[[#This Row],[Date]],"yyyy")</f>
        <v>2023</v>
      </c>
      <c r="E37" t="s">
        <v>5</v>
      </c>
      <c r="F37" t="s">
        <v>2</v>
      </c>
      <c r="G37" t="s">
        <v>3</v>
      </c>
      <c r="H37">
        <v>5845.79</v>
      </c>
      <c r="I37">
        <v>7</v>
      </c>
      <c r="J37">
        <v>588.01</v>
      </c>
    </row>
    <row r="38" spans="1:10" x14ac:dyDescent="0.25">
      <c r="A38" t="s">
        <v>48</v>
      </c>
      <c r="B38" s="1">
        <v>45123</v>
      </c>
      <c r="C38" t="str">
        <f>TEXT(Table1[[#This Row],[Date]],"mmm")</f>
        <v>Jul</v>
      </c>
      <c r="D38" t="str">
        <f>TEXT(Table1[[#This Row],[Date]],"yyyy")</f>
        <v>2023</v>
      </c>
      <c r="E38" t="s">
        <v>5</v>
      </c>
      <c r="F38" t="s">
        <v>2</v>
      </c>
      <c r="G38" t="s">
        <v>11</v>
      </c>
      <c r="H38">
        <v>2026.83</v>
      </c>
      <c r="I38">
        <v>4</v>
      </c>
      <c r="J38">
        <v>438.3</v>
      </c>
    </row>
    <row r="39" spans="1:10" x14ac:dyDescent="0.25">
      <c r="A39" t="s">
        <v>49</v>
      </c>
      <c r="B39" s="1">
        <v>45400</v>
      </c>
      <c r="C39" t="str">
        <f>TEXT(Table1[[#This Row],[Date]],"mmm")</f>
        <v>Apr</v>
      </c>
      <c r="D39" t="str">
        <f>TEXT(Table1[[#This Row],[Date]],"yyyy")</f>
        <v>2024</v>
      </c>
      <c r="E39" t="s">
        <v>7</v>
      </c>
      <c r="F39" t="s">
        <v>8</v>
      </c>
      <c r="G39" t="s">
        <v>18</v>
      </c>
      <c r="H39">
        <v>3173.92</v>
      </c>
      <c r="I39">
        <v>4</v>
      </c>
      <c r="J39">
        <v>702.1</v>
      </c>
    </row>
    <row r="40" spans="1:10" x14ac:dyDescent="0.25">
      <c r="A40" t="s">
        <v>50</v>
      </c>
      <c r="B40" s="1">
        <v>44978</v>
      </c>
      <c r="C40" t="str">
        <f>TEXT(Table1[[#This Row],[Date]],"mmm")</f>
        <v>Feb</v>
      </c>
      <c r="D40" t="str">
        <f>TEXT(Table1[[#This Row],[Date]],"yyyy")</f>
        <v>2023</v>
      </c>
      <c r="E40" t="s">
        <v>17</v>
      </c>
      <c r="F40" t="s">
        <v>8</v>
      </c>
      <c r="G40" t="s">
        <v>3</v>
      </c>
      <c r="H40">
        <v>8998.33</v>
      </c>
      <c r="I40">
        <v>9</v>
      </c>
      <c r="J40">
        <v>672.1</v>
      </c>
    </row>
    <row r="41" spans="1:10" x14ac:dyDescent="0.25">
      <c r="A41" t="s">
        <v>51</v>
      </c>
      <c r="B41" s="1">
        <v>45343</v>
      </c>
      <c r="C41" t="str">
        <f>TEXT(Table1[[#This Row],[Date]],"mmm")</f>
        <v>Feb</v>
      </c>
      <c r="D41" t="str">
        <f>TEXT(Table1[[#This Row],[Date]],"yyyy")</f>
        <v>2024</v>
      </c>
      <c r="E41" t="s">
        <v>7</v>
      </c>
      <c r="F41" t="s">
        <v>8</v>
      </c>
      <c r="G41" t="s">
        <v>11</v>
      </c>
      <c r="H41">
        <v>4574.24</v>
      </c>
      <c r="I41">
        <v>8</v>
      </c>
      <c r="J41">
        <v>395.46</v>
      </c>
    </row>
    <row r="42" spans="1:10" x14ac:dyDescent="0.25">
      <c r="A42" t="s">
        <v>52</v>
      </c>
      <c r="B42" s="1">
        <v>45315</v>
      </c>
      <c r="C42" t="str">
        <f>TEXT(Table1[[#This Row],[Date]],"mmm")</f>
        <v>Jan</v>
      </c>
      <c r="D42" t="str">
        <f>TEXT(Table1[[#This Row],[Date]],"yyyy")</f>
        <v>2024</v>
      </c>
      <c r="E42" t="s">
        <v>5</v>
      </c>
      <c r="F42" t="s">
        <v>2</v>
      </c>
      <c r="G42" t="s">
        <v>11</v>
      </c>
      <c r="H42">
        <v>951.04</v>
      </c>
      <c r="I42">
        <v>1</v>
      </c>
      <c r="J42">
        <v>788.54</v>
      </c>
    </row>
    <row r="43" spans="1:10" x14ac:dyDescent="0.25">
      <c r="A43" t="s">
        <v>53</v>
      </c>
      <c r="B43" s="1">
        <v>45360</v>
      </c>
      <c r="C43" t="str">
        <f>TEXT(Table1[[#This Row],[Date]],"mmm")</f>
        <v>Mar</v>
      </c>
      <c r="D43" t="str">
        <f>TEXT(Table1[[#This Row],[Date]],"yyyy")</f>
        <v>2024</v>
      </c>
      <c r="E43" t="s">
        <v>10</v>
      </c>
      <c r="F43" t="s">
        <v>2</v>
      </c>
      <c r="G43" t="s">
        <v>18</v>
      </c>
      <c r="H43">
        <v>6248.51</v>
      </c>
      <c r="I43">
        <v>9</v>
      </c>
      <c r="J43">
        <v>536.26</v>
      </c>
    </row>
    <row r="44" spans="1:10" x14ac:dyDescent="0.25">
      <c r="A44" t="s">
        <v>54</v>
      </c>
      <c r="B44" s="1">
        <v>45149</v>
      </c>
      <c r="C44" t="str">
        <f>TEXT(Table1[[#This Row],[Date]],"mmm")</f>
        <v>Aug</v>
      </c>
      <c r="D44" t="str">
        <f>TEXT(Table1[[#This Row],[Date]],"yyyy")</f>
        <v>2023</v>
      </c>
      <c r="E44" t="s">
        <v>7</v>
      </c>
      <c r="F44" t="s">
        <v>8</v>
      </c>
      <c r="G44" t="s">
        <v>18</v>
      </c>
      <c r="H44">
        <v>621.25</v>
      </c>
      <c r="I44">
        <v>1</v>
      </c>
      <c r="J44">
        <v>471.76</v>
      </c>
    </row>
    <row r="45" spans="1:10" x14ac:dyDescent="0.25">
      <c r="A45" t="s">
        <v>55</v>
      </c>
      <c r="B45" s="1">
        <v>44985</v>
      </c>
      <c r="C45" t="str">
        <f>TEXT(Table1[[#This Row],[Date]],"mmm")</f>
        <v>Feb</v>
      </c>
      <c r="D45" t="str">
        <f>TEXT(Table1[[#This Row],[Date]],"yyyy")</f>
        <v>2023</v>
      </c>
      <c r="E45" t="s">
        <v>1</v>
      </c>
      <c r="F45" t="s">
        <v>2</v>
      </c>
      <c r="G45" t="s">
        <v>18</v>
      </c>
      <c r="H45">
        <v>618.9</v>
      </c>
      <c r="I45">
        <v>1</v>
      </c>
      <c r="J45">
        <v>475.66</v>
      </c>
    </row>
    <row r="46" spans="1:10" x14ac:dyDescent="0.25">
      <c r="A46" t="s">
        <v>56</v>
      </c>
      <c r="B46" s="1">
        <v>44985</v>
      </c>
      <c r="C46" t="str">
        <f>TEXT(Table1[[#This Row],[Date]],"mmm")</f>
        <v>Feb</v>
      </c>
      <c r="D46" t="str">
        <f>TEXT(Table1[[#This Row],[Date]],"yyyy")</f>
        <v>2023</v>
      </c>
      <c r="E46" t="s">
        <v>17</v>
      </c>
      <c r="F46" t="s">
        <v>8</v>
      </c>
      <c r="G46" t="s">
        <v>11</v>
      </c>
      <c r="H46">
        <v>871.83</v>
      </c>
      <c r="I46">
        <v>9</v>
      </c>
      <c r="J46">
        <v>82.49</v>
      </c>
    </row>
    <row r="47" spans="1:10" x14ac:dyDescent="0.25">
      <c r="A47" t="s">
        <v>57</v>
      </c>
      <c r="B47" s="1">
        <v>45618</v>
      </c>
      <c r="C47" t="str">
        <f>TEXT(Table1[[#This Row],[Date]],"mmm")</f>
        <v>Nov</v>
      </c>
      <c r="D47" t="str">
        <f>TEXT(Table1[[#This Row],[Date]],"yyyy")</f>
        <v>2024</v>
      </c>
      <c r="E47" t="s">
        <v>17</v>
      </c>
      <c r="F47" t="s">
        <v>8</v>
      </c>
      <c r="G47" t="s">
        <v>3</v>
      </c>
      <c r="H47">
        <v>1978.34</v>
      </c>
      <c r="I47">
        <v>4</v>
      </c>
      <c r="J47">
        <v>334.94</v>
      </c>
    </row>
    <row r="48" spans="1:10" x14ac:dyDescent="0.25">
      <c r="A48" t="s">
        <v>58</v>
      </c>
      <c r="B48" s="1">
        <v>45519</v>
      </c>
      <c r="C48" t="str">
        <f>TEXT(Table1[[#This Row],[Date]],"mmm")</f>
        <v>Aug</v>
      </c>
      <c r="D48" t="str">
        <f>TEXT(Table1[[#This Row],[Date]],"yyyy")</f>
        <v>2024</v>
      </c>
      <c r="E48" t="s">
        <v>17</v>
      </c>
      <c r="F48" t="s">
        <v>8</v>
      </c>
      <c r="G48" t="s">
        <v>11</v>
      </c>
      <c r="H48">
        <v>577.72</v>
      </c>
      <c r="I48">
        <v>10</v>
      </c>
      <c r="J48">
        <v>51</v>
      </c>
    </row>
    <row r="49" spans="1:10" x14ac:dyDescent="0.25">
      <c r="A49" t="s">
        <v>59</v>
      </c>
      <c r="B49" s="1">
        <v>45194</v>
      </c>
      <c r="C49" t="str">
        <f>TEXT(Table1[[#This Row],[Date]],"mmm")</f>
        <v>Sep</v>
      </c>
      <c r="D49" t="str">
        <f>TEXT(Table1[[#This Row],[Date]],"yyyy")</f>
        <v>2023</v>
      </c>
      <c r="E49" t="s">
        <v>1</v>
      </c>
      <c r="F49" t="s">
        <v>2</v>
      </c>
      <c r="G49" t="s">
        <v>18</v>
      </c>
      <c r="H49">
        <v>2659.17</v>
      </c>
      <c r="I49">
        <v>4</v>
      </c>
      <c r="J49">
        <v>542.39</v>
      </c>
    </row>
    <row r="50" spans="1:10" x14ac:dyDescent="0.25">
      <c r="A50" t="s">
        <v>60</v>
      </c>
      <c r="B50" s="1">
        <v>45061</v>
      </c>
      <c r="C50" t="str">
        <f>TEXT(Table1[[#This Row],[Date]],"mmm")</f>
        <v>May</v>
      </c>
      <c r="D50" t="str">
        <f>TEXT(Table1[[#This Row],[Date]],"yyyy")</f>
        <v>2023</v>
      </c>
      <c r="E50" t="s">
        <v>15</v>
      </c>
      <c r="F50" t="s">
        <v>8</v>
      </c>
      <c r="G50" t="s">
        <v>13</v>
      </c>
      <c r="H50">
        <v>2771.33</v>
      </c>
      <c r="I50">
        <v>5</v>
      </c>
      <c r="J50">
        <v>376.64</v>
      </c>
    </row>
    <row r="51" spans="1:10" x14ac:dyDescent="0.25">
      <c r="A51" t="s">
        <v>61</v>
      </c>
      <c r="B51" s="1">
        <v>45396</v>
      </c>
      <c r="C51" t="str">
        <f>TEXT(Table1[[#This Row],[Date]],"mmm")</f>
        <v>Apr</v>
      </c>
      <c r="D51" t="str">
        <f>TEXT(Table1[[#This Row],[Date]],"yyyy")</f>
        <v>2024</v>
      </c>
      <c r="E51" t="s">
        <v>5</v>
      </c>
      <c r="F51" t="s">
        <v>2</v>
      </c>
      <c r="G51" t="s">
        <v>3</v>
      </c>
      <c r="H51">
        <v>11969.38</v>
      </c>
      <c r="I51">
        <v>10</v>
      </c>
      <c r="J51">
        <v>798.79</v>
      </c>
    </row>
    <row r="52" spans="1:10" x14ac:dyDescent="0.25">
      <c r="A52" t="s">
        <v>62</v>
      </c>
      <c r="B52" s="1">
        <v>45445</v>
      </c>
      <c r="C52" t="str">
        <f>TEXT(Table1[[#This Row],[Date]],"mmm")</f>
        <v>Jun</v>
      </c>
      <c r="D52" t="str">
        <f>TEXT(Table1[[#This Row],[Date]],"yyyy")</f>
        <v>2024</v>
      </c>
      <c r="E52" t="s">
        <v>5</v>
      </c>
      <c r="F52" t="s">
        <v>2</v>
      </c>
      <c r="G52" t="s">
        <v>11</v>
      </c>
      <c r="H52">
        <v>764.34</v>
      </c>
      <c r="I52">
        <v>5</v>
      </c>
      <c r="J52">
        <v>123.32</v>
      </c>
    </row>
    <row r="53" spans="1:10" x14ac:dyDescent="0.25">
      <c r="A53" t="s">
        <v>63</v>
      </c>
      <c r="B53" s="1">
        <v>45305</v>
      </c>
      <c r="C53" t="str">
        <f>TEXT(Table1[[#This Row],[Date]],"mmm")</f>
        <v>Jan</v>
      </c>
      <c r="D53" t="str">
        <f>TEXT(Table1[[#This Row],[Date]],"yyyy")</f>
        <v>2024</v>
      </c>
      <c r="E53" t="s">
        <v>5</v>
      </c>
      <c r="F53" t="s">
        <v>2</v>
      </c>
      <c r="G53" t="s">
        <v>11</v>
      </c>
      <c r="H53">
        <v>1025.24</v>
      </c>
      <c r="I53">
        <v>5</v>
      </c>
      <c r="J53">
        <v>143.04</v>
      </c>
    </row>
    <row r="54" spans="1:10" x14ac:dyDescent="0.25">
      <c r="A54" t="s">
        <v>64</v>
      </c>
      <c r="B54" s="1">
        <v>45553</v>
      </c>
      <c r="C54" t="str">
        <f>TEXT(Table1[[#This Row],[Date]],"mmm")</f>
        <v>Sep</v>
      </c>
      <c r="D54" t="str">
        <f>TEXT(Table1[[#This Row],[Date]],"yyyy")</f>
        <v>2024</v>
      </c>
      <c r="E54" t="s">
        <v>1</v>
      </c>
      <c r="F54" t="s">
        <v>2</v>
      </c>
      <c r="G54" t="s">
        <v>18</v>
      </c>
      <c r="H54">
        <v>335.17</v>
      </c>
      <c r="I54">
        <v>9</v>
      </c>
      <c r="J54">
        <v>26.1</v>
      </c>
    </row>
    <row r="55" spans="1:10" x14ac:dyDescent="0.25">
      <c r="A55" t="s">
        <v>65</v>
      </c>
      <c r="B55" s="1">
        <v>45064</v>
      </c>
      <c r="C55" t="str">
        <f>TEXT(Table1[[#This Row],[Date]],"mmm")</f>
        <v>May</v>
      </c>
      <c r="D55" t="str">
        <f>TEXT(Table1[[#This Row],[Date]],"yyyy")</f>
        <v>2023</v>
      </c>
      <c r="E55" t="s">
        <v>15</v>
      </c>
      <c r="F55" t="s">
        <v>8</v>
      </c>
      <c r="G55" t="s">
        <v>3</v>
      </c>
      <c r="H55">
        <v>628.72</v>
      </c>
      <c r="I55">
        <v>5</v>
      </c>
      <c r="J55">
        <v>110.03</v>
      </c>
    </row>
    <row r="56" spans="1:10" x14ac:dyDescent="0.25">
      <c r="A56" t="s">
        <v>66</v>
      </c>
      <c r="B56" s="1">
        <v>45205</v>
      </c>
      <c r="C56" t="str">
        <f>TEXT(Table1[[#This Row],[Date]],"mmm")</f>
        <v>Oct</v>
      </c>
      <c r="D56" t="str">
        <f>TEXT(Table1[[#This Row],[Date]],"yyyy")</f>
        <v>2023</v>
      </c>
      <c r="E56" t="s">
        <v>17</v>
      </c>
      <c r="F56" t="s">
        <v>8</v>
      </c>
      <c r="G56" t="s">
        <v>11</v>
      </c>
      <c r="H56">
        <v>3410.54</v>
      </c>
      <c r="I56">
        <v>5</v>
      </c>
      <c r="J56">
        <v>491.77</v>
      </c>
    </row>
    <row r="57" spans="1:10" x14ac:dyDescent="0.25">
      <c r="A57" t="s">
        <v>67</v>
      </c>
      <c r="B57" s="1">
        <v>45444</v>
      </c>
      <c r="C57" t="str">
        <f>TEXT(Table1[[#This Row],[Date]],"mmm")</f>
        <v>Jun</v>
      </c>
      <c r="D57" t="str">
        <f>TEXT(Table1[[#This Row],[Date]],"yyyy")</f>
        <v>2024</v>
      </c>
      <c r="E57" t="s">
        <v>7</v>
      </c>
      <c r="F57" t="s">
        <v>8</v>
      </c>
      <c r="G57" t="s">
        <v>18</v>
      </c>
      <c r="H57">
        <v>2527</v>
      </c>
      <c r="I57">
        <v>8</v>
      </c>
      <c r="J57">
        <v>215.87</v>
      </c>
    </row>
    <row r="58" spans="1:10" x14ac:dyDescent="0.25">
      <c r="A58" t="s">
        <v>68</v>
      </c>
      <c r="B58" s="1">
        <v>45576</v>
      </c>
      <c r="C58" t="str">
        <f>TEXT(Table1[[#This Row],[Date]],"mmm")</f>
        <v>Oct</v>
      </c>
      <c r="D58" t="str">
        <f>TEXT(Table1[[#This Row],[Date]],"yyyy")</f>
        <v>2024</v>
      </c>
      <c r="E58" t="s">
        <v>5</v>
      </c>
      <c r="F58" t="s">
        <v>2</v>
      </c>
      <c r="G58" t="s">
        <v>3</v>
      </c>
      <c r="H58">
        <v>5217.38</v>
      </c>
      <c r="I58">
        <v>7</v>
      </c>
      <c r="J58">
        <v>666.89</v>
      </c>
    </row>
    <row r="59" spans="1:10" x14ac:dyDescent="0.25">
      <c r="A59" t="s">
        <v>69</v>
      </c>
      <c r="B59" s="1">
        <v>45579</v>
      </c>
      <c r="C59" t="str">
        <f>TEXT(Table1[[#This Row],[Date]],"mmm")</f>
        <v>Oct</v>
      </c>
      <c r="D59" t="str">
        <f>TEXT(Table1[[#This Row],[Date]],"yyyy")</f>
        <v>2024</v>
      </c>
      <c r="E59" t="s">
        <v>15</v>
      </c>
      <c r="F59" t="s">
        <v>8</v>
      </c>
      <c r="G59" t="s">
        <v>11</v>
      </c>
      <c r="H59">
        <v>932.21</v>
      </c>
      <c r="I59">
        <v>5</v>
      </c>
      <c r="J59">
        <v>146.03</v>
      </c>
    </row>
    <row r="60" spans="1:10" x14ac:dyDescent="0.25">
      <c r="A60" t="s">
        <v>70</v>
      </c>
      <c r="B60" s="1">
        <v>45501</v>
      </c>
      <c r="C60" t="str">
        <f>TEXT(Table1[[#This Row],[Date]],"mmm")</f>
        <v>Jul</v>
      </c>
      <c r="D60" t="str">
        <f>TEXT(Table1[[#This Row],[Date]],"yyyy")</f>
        <v>2024</v>
      </c>
      <c r="E60" t="s">
        <v>1</v>
      </c>
      <c r="F60" t="s">
        <v>2</v>
      </c>
      <c r="G60" t="s">
        <v>13</v>
      </c>
      <c r="H60">
        <v>158.53</v>
      </c>
      <c r="I60">
        <v>1</v>
      </c>
      <c r="J60">
        <v>107.26</v>
      </c>
    </row>
    <row r="61" spans="1:10" x14ac:dyDescent="0.25">
      <c r="A61" t="s">
        <v>71</v>
      </c>
      <c r="B61" s="1">
        <v>45485</v>
      </c>
      <c r="C61" t="str">
        <f>TEXT(Table1[[#This Row],[Date]],"mmm")</f>
        <v>Jul</v>
      </c>
      <c r="D61" t="str">
        <f>TEXT(Table1[[#This Row],[Date]],"yyyy")</f>
        <v>2024</v>
      </c>
      <c r="E61" t="s">
        <v>1</v>
      </c>
      <c r="F61" t="s">
        <v>2</v>
      </c>
      <c r="G61" t="s">
        <v>11</v>
      </c>
      <c r="H61">
        <v>894.42</v>
      </c>
      <c r="I61">
        <v>1</v>
      </c>
      <c r="J61">
        <v>670.98</v>
      </c>
    </row>
    <row r="62" spans="1:10" x14ac:dyDescent="0.25">
      <c r="A62" t="s">
        <v>72</v>
      </c>
      <c r="B62" s="1">
        <v>45057</v>
      </c>
      <c r="C62" t="str">
        <f>TEXT(Table1[[#This Row],[Date]],"mmm")</f>
        <v>May</v>
      </c>
      <c r="D62" t="str">
        <f>TEXT(Table1[[#This Row],[Date]],"yyyy")</f>
        <v>2023</v>
      </c>
      <c r="E62" t="s">
        <v>7</v>
      </c>
      <c r="F62" t="s">
        <v>8</v>
      </c>
      <c r="G62" t="s">
        <v>13</v>
      </c>
      <c r="H62">
        <v>380.14</v>
      </c>
      <c r="I62">
        <v>1</v>
      </c>
      <c r="J62">
        <v>260.44</v>
      </c>
    </row>
    <row r="63" spans="1:10" x14ac:dyDescent="0.25">
      <c r="A63" t="s">
        <v>73</v>
      </c>
      <c r="B63" s="1">
        <v>45142</v>
      </c>
      <c r="C63" t="str">
        <f>TEXT(Table1[[#This Row],[Date]],"mmm")</f>
        <v>Aug</v>
      </c>
      <c r="D63" t="str">
        <f>TEXT(Table1[[#This Row],[Date]],"yyyy")</f>
        <v>2023</v>
      </c>
      <c r="E63" t="s">
        <v>5</v>
      </c>
      <c r="F63" t="s">
        <v>2</v>
      </c>
      <c r="G63" t="s">
        <v>18</v>
      </c>
      <c r="H63">
        <v>2682.62</v>
      </c>
      <c r="I63">
        <v>4</v>
      </c>
      <c r="J63">
        <v>540.21</v>
      </c>
    </row>
    <row r="64" spans="1:10" x14ac:dyDescent="0.25">
      <c r="A64" t="s">
        <v>74</v>
      </c>
      <c r="B64" s="1">
        <v>45562</v>
      </c>
      <c r="C64" t="str">
        <f>TEXT(Table1[[#This Row],[Date]],"mmm")</f>
        <v>Sep</v>
      </c>
      <c r="D64" t="str">
        <f>TEXT(Table1[[#This Row],[Date]],"yyyy")</f>
        <v>2024</v>
      </c>
      <c r="E64" t="s">
        <v>17</v>
      </c>
      <c r="F64" t="s">
        <v>8</v>
      </c>
      <c r="G64" t="s">
        <v>13</v>
      </c>
      <c r="H64">
        <v>2659.75</v>
      </c>
      <c r="I64">
        <v>3</v>
      </c>
      <c r="J64">
        <v>742.1</v>
      </c>
    </row>
    <row r="65" spans="1:10" x14ac:dyDescent="0.25">
      <c r="A65" t="s">
        <v>75</v>
      </c>
      <c r="B65" s="1">
        <v>45349</v>
      </c>
      <c r="C65" t="str">
        <f>TEXT(Table1[[#This Row],[Date]],"mmm")</f>
        <v>Feb</v>
      </c>
      <c r="D65" t="str">
        <f>TEXT(Table1[[#This Row],[Date]],"yyyy")</f>
        <v>2024</v>
      </c>
      <c r="E65" t="s">
        <v>7</v>
      </c>
      <c r="F65" t="s">
        <v>8</v>
      </c>
      <c r="G65" t="s">
        <v>11</v>
      </c>
      <c r="H65">
        <v>235.02</v>
      </c>
      <c r="I65">
        <v>1</v>
      </c>
      <c r="J65">
        <v>159.9</v>
      </c>
    </row>
    <row r="66" spans="1:10" x14ac:dyDescent="0.25">
      <c r="A66" t="s">
        <v>76</v>
      </c>
      <c r="B66" s="1">
        <v>45200</v>
      </c>
      <c r="C66" t="str">
        <f>TEXT(Table1[[#This Row],[Date]],"mmm")</f>
        <v>Oct</v>
      </c>
      <c r="D66" t="str">
        <f>TEXT(Table1[[#This Row],[Date]],"yyyy")</f>
        <v>2023</v>
      </c>
      <c r="E66" t="s">
        <v>10</v>
      </c>
      <c r="F66" t="s">
        <v>2</v>
      </c>
      <c r="G66" t="s">
        <v>11</v>
      </c>
      <c r="H66">
        <v>2174.9499999999998</v>
      </c>
      <c r="I66">
        <v>3</v>
      </c>
      <c r="J66">
        <v>634.15</v>
      </c>
    </row>
    <row r="67" spans="1:10" x14ac:dyDescent="0.25">
      <c r="A67" t="s">
        <v>77</v>
      </c>
      <c r="B67" s="1">
        <v>45154</v>
      </c>
      <c r="C67" t="str">
        <f>TEXT(Table1[[#This Row],[Date]],"mmm")</f>
        <v>Aug</v>
      </c>
      <c r="D67" t="str">
        <f>TEXT(Table1[[#This Row],[Date]],"yyyy")</f>
        <v>2023</v>
      </c>
      <c r="E67" t="s">
        <v>5</v>
      </c>
      <c r="F67" t="s">
        <v>2</v>
      </c>
      <c r="G67" t="s">
        <v>13</v>
      </c>
      <c r="H67">
        <v>3374.36</v>
      </c>
      <c r="I67">
        <v>4</v>
      </c>
      <c r="J67">
        <v>656.94</v>
      </c>
    </row>
    <row r="68" spans="1:10" x14ac:dyDescent="0.25">
      <c r="A68" t="s">
        <v>78</v>
      </c>
      <c r="B68" s="1">
        <v>45155</v>
      </c>
      <c r="C68" t="str">
        <f>TEXT(Table1[[#This Row],[Date]],"mmm")</f>
        <v>Aug</v>
      </c>
      <c r="D68" t="str">
        <f>TEXT(Table1[[#This Row],[Date]],"yyyy")</f>
        <v>2023</v>
      </c>
      <c r="E68" t="s">
        <v>15</v>
      </c>
      <c r="F68" t="s">
        <v>8</v>
      </c>
      <c r="G68" t="s">
        <v>11</v>
      </c>
      <c r="H68">
        <v>673.56</v>
      </c>
      <c r="I68">
        <v>1</v>
      </c>
      <c r="J68">
        <v>534.83000000000004</v>
      </c>
    </row>
    <row r="69" spans="1:10" x14ac:dyDescent="0.25">
      <c r="A69" t="s">
        <v>79</v>
      </c>
      <c r="B69" s="1">
        <v>45212</v>
      </c>
      <c r="C69" t="str">
        <f>TEXT(Table1[[#This Row],[Date]],"mmm")</f>
        <v>Oct</v>
      </c>
      <c r="D69" t="str">
        <f>TEXT(Table1[[#This Row],[Date]],"yyyy")</f>
        <v>2023</v>
      </c>
      <c r="E69" t="s">
        <v>15</v>
      </c>
      <c r="F69" t="s">
        <v>8</v>
      </c>
      <c r="G69" t="s">
        <v>3</v>
      </c>
      <c r="H69">
        <v>3933.52</v>
      </c>
      <c r="I69">
        <v>6</v>
      </c>
      <c r="J69">
        <v>520.36</v>
      </c>
    </row>
    <row r="70" spans="1:10" x14ac:dyDescent="0.25">
      <c r="A70" t="s">
        <v>80</v>
      </c>
      <c r="B70" s="1">
        <v>44955</v>
      </c>
      <c r="C70" t="str">
        <f>TEXT(Table1[[#This Row],[Date]],"mmm")</f>
        <v>Jan</v>
      </c>
      <c r="D70" t="str">
        <f>TEXT(Table1[[#This Row],[Date]],"yyyy")</f>
        <v>2023</v>
      </c>
      <c r="E70" t="s">
        <v>17</v>
      </c>
      <c r="F70" t="s">
        <v>8</v>
      </c>
      <c r="G70" t="s">
        <v>18</v>
      </c>
      <c r="H70">
        <v>1696.13</v>
      </c>
      <c r="I70">
        <v>2</v>
      </c>
      <c r="J70">
        <v>704.09</v>
      </c>
    </row>
    <row r="71" spans="1:10" x14ac:dyDescent="0.25">
      <c r="A71" t="s">
        <v>81</v>
      </c>
      <c r="B71" s="1">
        <v>44966</v>
      </c>
      <c r="C71" t="str">
        <f>TEXT(Table1[[#This Row],[Date]],"mmm")</f>
        <v>Feb</v>
      </c>
      <c r="D71" t="str">
        <f>TEXT(Table1[[#This Row],[Date]],"yyyy")</f>
        <v>2023</v>
      </c>
      <c r="E71" t="s">
        <v>17</v>
      </c>
      <c r="F71" t="s">
        <v>8</v>
      </c>
      <c r="G71" t="s">
        <v>18</v>
      </c>
      <c r="H71">
        <v>1201.94</v>
      </c>
      <c r="I71">
        <v>2</v>
      </c>
      <c r="J71">
        <v>485.33</v>
      </c>
    </row>
    <row r="72" spans="1:10" x14ac:dyDescent="0.25">
      <c r="A72" t="s">
        <v>82</v>
      </c>
      <c r="B72" s="1">
        <v>45547</v>
      </c>
      <c r="C72" t="str">
        <f>TEXT(Table1[[#This Row],[Date]],"mmm")</f>
        <v>Sep</v>
      </c>
      <c r="D72" t="str">
        <f>TEXT(Table1[[#This Row],[Date]],"yyyy")</f>
        <v>2024</v>
      </c>
      <c r="E72" t="s">
        <v>15</v>
      </c>
      <c r="F72" t="s">
        <v>8</v>
      </c>
      <c r="G72" t="s">
        <v>13</v>
      </c>
      <c r="H72">
        <v>1447.83</v>
      </c>
      <c r="I72">
        <v>9</v>
      </c>
      <c r="J72">
        <v>110.2</v>
      </c>
    </row>
    <row r="73" spans="1:10" x14ac:dyDescent="0.25">
      <c r="A73" t="s">
        <v>83</v>
      </c>
      <c r="B73" s="1">
        <v>44972</v>
      </c>
      <c r="C73" t="str">
        <f>TEXT(Table1[[#This Row],[Date]],"mmm")</f>
        <v>Feb</v>
      </c>
      <c r="D73" t="str">
        <f>TEXT(Table1[[#This Row],[Date]],"yyyy")</f>
        <v>2023</v>
      </c>
      <c r="E73" t="s">
        <v>7</v>
      </c>
      <c r="F73" t="s">
        <v>8</v>
      </c>
      <c r="G73" t="s">
        <v>18</v>
      </c>
      <c r="H73">
        <v>219.42</v>
      </c>
      <c r="I73">
        <v>7</v>
      </c>
      <c r="J73">
        <v>21.32</v>
      </c>
    </row>
    <row r="74" spans="1:10" x14ac:dyDescent="0.25">
      <c r="A74" t="s">
        <v>84</v>
      </c>
      <c r="B74" s="1">
        <v>45299</v>
      </c>
      <c r="C74" t="str">
        <f>TEXT(Table1[[#This Row],[Date]],"mmm")</f>
        <v>Jan</v>
      </c>
      <c r="D74" t="str">
        <f>TEXT(Table1[[#This Row],[Date]],"yyyy")</f>
        <v>2024</v>
      </c>
      <c r="E74" t="s">
        <v>17</v>
      </c>
      <c r="F74" t="s">
        <v>8</v>
      </c>
      <c r="G74" t="s">
        <v>11</v>
      </c>
      <c r="H74">
        <v>712.97</v>
      </c>
      <c r="I74">
        <v>7</v>
      </c>
      <c r="J74">
        <v>74.58</v>
      </c>
    </row>
    <row r="75" spans="1:10" x14ac:dyDescent="0.25">
      <c r="A75" t="s">
        <v>85</v>
      </c>
      <c r="B75" s="1">
        <v>45606</v>
      </c>
      <c r="C75" t="str">
        <f>TEXT(Table1[[#This Row],[Date]],"mmm")</f>
        <v>Nov</v>
      </c>
      <c r="D75" t="str">
        <f>TEXT(Table1[[#This Row],[Date]],"yyyy")</f>
        <v>2024</v>
      </c>
      <c r="E75" t="s">
        <v>15</v>
      </c>
      <c r="F75" t="s">
        <v>8</v>
      </c>
      <c r="G75" t="s">
        <v>18</v>
      </c>
      <c r="H75">
        <v>1418.79</v>
      </c>
      <c r="I75">
        <v>2</v>
      </c>
      <c r="J75">
        <v>581.41</v>
      </c>
    </row>
    <row r="76" spans="1:10" x14ac:dyDescent="0.25">
      <c r="A76" t="s">
        <v>86</v>
      </c>
      <c r="B76" s="1">
        <v>45261</v>
      </c>
      <c r="C76" t="str">
        <f>TEXT(Table1[[#This Row],[Date]],"mmm")</f>
        <v>Dec</v>
      </c>
      <c r="D76" t="str">
        <f>TEXT(Table1[[#This Row],[Date]],"yyyy")</f>
        <v>2023</v>
      </c>
      <c r="E76" t="s">
        <v>15</v>
      </c>
      <c r="F76" t="s">
        <v>8</v>
      </c>
      <c r="G76" t="s">
        <v>13</v>
      </c>
      <c r="H76">
        <v>5216.66</v>
      </c>
      <c r="I76">
        <v>7</v>
      </c>
      <c r="J76">
        <v>563.82000000000005</v>
      </c>
    </row>
    <row r="77" spans="1:10" x14ac:dyDescent="0.25">
      <c r="A77" t="s">
        <v>87</v>
      </c>
      <c r="B77" s="1">
        <v>45607</v>
      </c>
      <c r="C77" t="str">
        <f>TEXT(Table1[[#This Row],[Date]],"mmm")</f>
        <v>Nov</v>
      </c>
      <c r="D77" t="str">
        <f>TEXT(Table1[[#This Row],[Date]],"yyyy")</f>
        <v>2024</v>
      </c>
      <c r="E77" t="s">
        <v>7</v>
      </c>
      <c r="F77" t="s">
        <v>8</v>
      </c>
      <c r="G77" t="s">
        <v>13</v>
      </c>
      <c r="H77">
        <v>5608.04</v>
      </c>
      <c r="I77">
        <v>7</v>
      </c>
      <c r="J77">
        <v>548.30999999999995</v>
      </c>
    </row>
    <row r="78" spans="1:10" x14ac:dyDescent="0.25">
      <c r="A78" t="s">
        <v>88</v>
      </c>
      <c r="B78" s="1">
        <v>45342</v>
      </c>
      <c r="C78" t="str">
        <f>TEXT(Table1[[#This Row],[Date]],"mmm")</f>
        <v>Feb</v>
      </c>
      <c r="D78" t="str">
        <f>TEXT(Table1[[#This Row],[Date]],"yyyy")</f>
        <v>2024</v>
      </c>
      <c r="E78" t="s">
        <v>17</v>
      </c>
      <c r="F78" t="s">
        <v>8</v>
      </c>
      <c r="G78" t="s">
        <v>18</v>
      </c>
      <c r="H78">
        <v>7369.35</v>
      </c>
      <c r="I78">
        <v>9</v>
      </c>
      <c r="J78">
        <v>670.31</v>
      </c>
    </row>
    <row r="79" spans="1:10" x14ac:dyDescent="0.25">
      <c r="A79" t="s">
        <v>89</v>
      </c>
      <c r="B79" s="1">
        <v>45520</v>
      </c>
      <c r="C79" t="str">
        <f>TEXT(Table1[[#This Row],[Date]],"mmm")</f>
        <v>Aug</v>
      </c>
      <c r="D79" t="str">
        <f>TEXT(Table1[[#This Row],[Date]],"yyyy")</f>
        <v>2024</v>
      </c>
      <c r="E79" t="s">
        <v>7</v>
      </c>
      <c r="F79" t="s">
        <v>8</v>
      </c>
      <c r="G79" t="s">
        <v>13</v>
      </c>
      <c r="H79">
        <v>6824.39</v>
      </c>
      <c r="I79">
        <v>10</v>
      </c>
      <c r="J79">
        <v>530.66999999999996</v>
      </c>
    </row>
    <row r="80" spans="1:10" x14ac:dyDescent="0.25">
      <c r="A80" t="s">
        <v>90</v>
      </c>
      <c r="B80" s="1">
        <v>45450</v>
      </c>
      <c r="C80" t="str">
        <f>TEXT(Table1[[#This Row],[Date]],"mmm")</f>
        <v>Jun</v>
      </c>
      <c r="D80" t="str">
        <f>TEXT(Table1[[#This Row],[Date]],"yyyy")</f>
        <v>2024</v>
      </c>
      <c r="E80" t="s">
        <v>10</v>
      </c>
      <c r="F80" t="s">
        <v>2</v>
      </c>
      <c r="G80" t="s">
        <v>11</v>
      </c>
      <c r="H80">
        <v>7587.17</v>
      </c>
      <c r="I80">
        <v>8</v>
      </c>
      <c r="J80">
        <v>639.11</v>
      </c>
    </row>
    <row r="81" spans="1:10" x14ac:dyDescent="0.25">
      <c r="A81" t="s">
        <v>91</v>
      </c>
      <c r="B81" s="1">
        <v>45601</v>
      </c>
      <c r="C81" t="str">
        <f>TEXT(Table1[[#This Row],[Date]],"mmm")</f>
        <v>Nov</v>
      </c>
      <c r="D81" t="str">
        <f>TEXT(Table1[[#This Row],[Date]],"yyyy")</f>
        <v>2024</v>
      </c>
      <c r="E81" t="s">
        <v>1</v>
      </c>
      <c r="F81" t="s">
        <v>2</v>
      </c>
      <c r="G81" t="s">
        <v>11</v>
      </c>
      <c r="H81">
        <v>659.15</v>
      </c>
      <c r="I81">
        <v>2</v>
      </c>
      <c r="J81">
        <v>241.35</v>
      </c>
    </row>
    <row r="82" spans="1:10" x14ac:dyDescent="0.25">
      <c r="A82" t="s">
        <v>92</v>
      </c>
      <c r="B82" s="1">
        <v>45022</v>
      </c>
      <c r="C82" t="str">
        <f>TEXT(Table1[[#This Row],[Date]],"mmm")</f>
        <v>Apr</v>
      </c>
      <c r="D82" t="str">
        <f>TEXT(Table1[[#This Row],[Date]],"yyyy")</f>
        <v>2023</v>
      </c>
      <c r="E82" t="s">
        <v>17</v>
      </c>
      <c r="F82" t="s">
        <v>8</v>
      </c>
      <c r="G82" t="s">
        <v>18</v>
      </c>
      <c r="H82">
        <v>2592.84</v>
      </c>
      <c r="I82">
        <v>4</v>
      </c>
      <c r="J82">
        <v>544.78</v>
      </c>
    </row>
    <row r="83" spans="1:10" x14ac:dyDescent="0.25">
      <c r="A83" t="s">
        <v>93</v>
      </c>
      <c r="B83" s="1">
        <v>44952</v>
      </c>
      <c r="C83" t="str">
        <f>TEXT(Table1[[#This Row],[Date]],"mmm")</f>
        <v>Jan</v>
      </c>
      <c r="D83" t="str">
        <f>TEXT(Table1[[#This Row],[Date]],"yyyy")</f>
        <v>2023</v>
      </c>
      <c r="E83" t="s">
        <v>7</v>
      </c>
      <c r="F83" t="s">
        <v>8</v>
      </c>
      <c r="G83" t="s">
        <v>11</v>
      </c>
      <c r="H83">
        <v>272.18</v>
      </c>
      <c r="I83">
        <v>1</v>
      </c>
      <c r="J83">
        <v>210.98</v>
      </c>
    </row>
    <row r="84" spans="1:10" x14ac:dyDescent="0.25">
      <c r="A84" t="s">
        <v>94</v>
      </c>
      <c r="B84" s="1">
        <v>45351</v>
      </c>
      <c r="C84" t="str">
        <f>TEXT(Table1[[#This Row],[Date]],"mmm")</f>
        <v>Feb</v>
      </c>
      <c r="D84" t="str">
        <f>TEXT(Table1[[#This Row],[Date]],"yyyy")</f>
        <v>2024</v>
      </c>
      <c r="E84" t="s">
        <v>5</v>
      </c>
      <c r="F84" t="s">
        <v>2</v>
      </c>
      <c r="G84" t="s">
        <v>13</v>
      </c>
      <c r="H84">
        <v>2366.4</v>
      </c>
      <c r="I84">
        <v>10</v>
      </c>
      <c r="J84">
        <v>171.66</v>
      </c>
    </row>
    <row r="85" spans="1:10" x14ac:dyDescent="0.25">
      <c r="A85" t="s">
        <v>95</v>
      </c>
      <c r="B85" s="1">
        <v>45176</v>
      </c>
      <c r="C85" t="str">
        <f>TEXT(Table1[[#This Row],[Date]],"mmm")</f>
        <v>Sep</v>
      </c>
      <c r="D85" t="str">
        <f>TEXT(Table1[[#This Row],[Date]],"yyyy")</f>
        <v>2023</v>
      </c>
      <c r="E85" t="s">
        <v>10</v>
      </c>
      <c r="F85" t="s">
        <v>2</v>
      </c>
      <c r="G85" t="s">
        <v>13</v>
      </c>
      <c r="H85">
        <v>1758.25</v>
      </c>
      <c r="I85">
        <v>3</v>
      </c>
      <c r="J85">
        <v>531.73</v>
      </c>
    </row>
    <row r="86" spans="1:10" x14ac:dyDescent="0.25">
      <c r="A86" t="s">
        <v>96</v>
      </c>
      <c r="B86" s="1">
        <v>45151</v>
      </c>
      <c r="C86" t="str">
        <f>TEXT(Table1[[#This Row],[Date]],"mmm")</f>
        <v>Aug</v>
      </c>
      <c r="D86" t="str">
        <f>TEXT(Table1[[#This Row],[Date]],"yyyy")</f>
        <v>2023</v>
      </c>
      <c r="E86" t="s">
        <v>5</v>
      </c>
      <c r="F86" t="s">
        <v>2</v>
      </c>
      <c r="G86" t="s">
        <v>13</v>
      </c>
      <c r="H86">
        <v>2676.27</v>
      </c>
      <c r="I86">
        <v>3</v>
      </c>
      <c r="J86">
        <v>647.21</v>
      </c>
    </row>
    <row r="87" spans="1:10" x14ac:dyDescent="0.25">
      <c r="A87" t="s">
        <v>97</v>
      </c>
      <c r="B87" s="1">
        <v>45497</v>
      </c>
      <c r="C87" t="str">
        <f>TEXT(Table1[[#This Row],[Date]],"mmm")</f>
        <v>Jul</v>
      </c>
      <c r="D87" t="str">
        <f>TEXT(Table1[[#This Row],[Date]],"yyyy")</f>
        <v>2024</v>
      </c>
      <c r="E87" t="s">
        <v>10</v>
      </c>
      <c r="F87" t="s">
        <v>2</v>
      </c>
      <c r="G87" t="s">
        <v>3</v>
      </c>
      <c r="H87">
        <v>3379.61</v>
      </c>
      <c r="I87">
        <v>4</v>
      </c>
      <c r="J87">
        <v>735.63</v>
      </c>
    </row>
    <row r="88" spans="1:10" x14ac:dyDescent="0.25">
      <c r="A88" t="s">
        <v>98</v>
      </c>
      <c r="B88" s="1">
        <v>45610</v>
      </c>
      <c r="C88" t="str">
        <f>TEXT(Table1[[#This Row],[Date]],"mmm")</f>
        <v>Nov</v>
      </c>
      <c r="D88" t="str">
        <f>TEXT(Table1[[#This Row],[Date]],"yyyy")</f>
        <v>2024</v>
      </c>
      <c r="E88" t="s">
        <v>7</v>
      </c>
      <c r="F88" t="s">
        <v>8</v>
      </c>
      <c r="G88" t="s">
        <v>13</v>
      </c>
      <c r="H88">
        <v>9521.2099999999991</v>
      </c>
      <c r="I88">
        <v>9</v>
      </c>
      <c r="J88">
        <v>790.56</v>
      </c>
    </row>
    <row r="89" spans="1:10" x14ac:dyDescent="0.25">
      <c r="A89" t="s">
        <v>99</v>
      </c>
      <c r="B89" s="1">
        <v>45488</v>
      </c>
      <c r="C89" t="str">
        <f>TEXT(Table1[[#This Row],[Date]],"mmm")</f>
        <v>Jul</v>
      </c>
      <c r="D89" t="str">
        <f>TEXT(Table1[[#This Row],[Date]],"yyyy")</f>
        <v>2024</v>
      </c>
      <c r="E89" t="s">
        <v>10</v>
      </c>
      <c r="F89" t="s">
        <v>2</v>
      </c>
      <c r="G89" t="s">
        <v>13</v>
      </c>
      <c r="H89">
        <v>8047.37</v>
      </c>
      <c r="I89">
        <v>8</v>
      </c>
      <c r="J89">
        <v>719.82</v>
      </c>
    </row>
    <row r="90" spans="1:10" x14ac:dyDescent="0.25">
      <c r="A90" t="s">
        <v>100</v>
      </c>
      <c r="B90" s="1">
        <v>45192</v>
      </c>
      <c r="C90" t="str">
        <f>TEXT(Table1[[#This Row],[Date]],"mmm")</f>
        <v>Sep</v>
      </c>
      <c r="D90" t="str">
        <f>TEXT(Table1[[#This Row],[Date]],"yyyy")</f>
        <v>2023</v>
      </c>
      <c r="E90" t="s">
        <v>10</v>
      </c>
      <c r="F90" t="s">
        <v>2</v>
      </c>
      <c r="G90" t="s">
        <v>13</v>
      </c>
      <c r="H90">
        <v>3269.93</v>
      </c>
      <c r="I90">
        <v>4</v>
      </c>
      <c r="J90">
        <v>675.09</v>
      </c>
    </row>
    <row r="91" spans="1:10" x14ac:dyDescent="0.25">
      <c r="A91" t="s">
        <v>101</v>
      </c>
      <c r="B91" s="1">
        <v>45568</v>
      </c>
      <c r="C91" t="str">
        <f>TEXT(Table1[[#This Row],[Date]],"mmm")</f>
        <v>Oct</v>
      </c>
      <c r="D91" t="str">
        <f>TEXT(Table1[[#This Row],[Date]],"yyyy")</f>
        <v>2024</v>
      </c>
      <c r="E91" t="s">
        <v>17</v>
      </c>
      <c r="F91" t="s">
        <v>8</v>
      </c>
      <c r="G91" t="s">
        <v>13</v>
      </c>
      <c r="H91">
        <v>1059.47</v>
      </c>
      <c r="I91">
        <v>4</v>
      </c>
      <c r="J91">
        <v>234.19</v>
      </c>
    </row>
    <row r="92" spans="1:10" x14ac:dyDescent="0.25">
      <c r="A92" t="s">
        <v>102</v>
      </c>
      <c r="B92" s="1">
        <v>45205</v>
      </c>
      <c r="C92" t="str">
        <f>TEXT(Table1[[#This Row],[Date]],"mmm")</f>
        <v>Oct</v>
      </c>
      <c r="D92" t="str">
        <f>TEXT(Table1[[#This Row],[Date]],"yyyy")</f>
        <v>2023</v>
      </c>
      <c r="E92" t="s">
        <v>15</v>
      </c>
      <c r="F92" t="s">
        <v>8</v>
      </c>
      <c r="G92" t="s">
        <v>11</v>
      </c>
      <c r="H92">
        <v>2127.04</v>
      </c>
      <c r="I92">
        <v>6</v>
      </c>
      <c r="J92">
        <v>269.37</v>
      </c>
    </row>
    <row r="93" spans="1:10" x14ac:dyDescent="0.25">
      <c r="A93" t="s">
        <v>103</v>
      </c>
      <c r="B93" s="1">
        <v>45163</v>
      </c>
      <c r="C93" t="str">
        <f>TEXT(Table1[[#This Row],[Date]],"mmm")</f>
        <v>Aug</v>
      </c>
      <c r="D93" t="str">
        <f>TEXT(Table1[[#This Row],[Date]],"yyyy")</f>
        <v>2023</v>
      </c>
      <c r="E93" t="s">
        <v>7</v>
      </c>
      <c r="F93" t="s">
        <v>8</v>
      </c>
      <c r="G93" t="s">
        <v>11</v>
      </c>
      <c r="H93">
        <v>5432.05</v>
      </c>
      <c r="I93">
        <v>7</v>
      </c>
      <c r="J93">
        <v>561.28</v>
      </c>
    </row>
    <row r="94" spans="1:10" x14ac:dyDescent="0.25">
      <c r="A94" t="s">
        <v>104</v>
      </c>
      <c r="B94" s="1">
        <v>45344</v>
      </c>
      <c r="C94" t="str">
        <f>TEXT(Table1[[#This Row],[Date]],"mmm")</f>
        <v>Feb</v>
      </c>
      <c r="D94" t="str">
        <f>TEXT(Table1[[#This Row],[Date]],"yyyy")</f>
        <v>2024</v>
      </c>
      <c r="E94" t="s">
        <v>5</v>
      </c>
      <c r="F94" t="s">
        <v>2</v>
      </c>
      <c r="G94" t="s">
        <v>13</v>
      </c>
      <c r="H94">
        <v>3367.67</v>
      </c>
      <c r="I94">
        <v>6</v>
      </c>
      <c r="J94">
        <v>443.24</v>
      </c>
    </row>
    <row r="95" spans="1:10" x14ac:dyDescent="0.25">
      <c r="A95" t="s">
        <v>105</v>
      </c>
      <c r="B95" s="1">
        <v>45325</v>
      </c>
      <c r="C95" t="str">
        <f>TEXT(Table1[[#This Row],[Date]],"mmm")</f>
        <v>Feb</v>
      </c>
      <c r="D95" t="str">
        <f>TEXT(Table1[[#This Row],[Date]],"yyyy")</f>
        <v>2024</v>
      </c>
      <c r="E95" t="s">
        <v>7</v>
      </c>
      <c r="F95" t="s">
        <v>8</v>
      </c>
      <c r="G95" t="s">
        <v>13</v>
      </c>
      <c r="H95">
        <v>8396.4500000000007</v>
      </c>
      <c r="I95">
        <v>10</v>
      </c>
      <c r="J95">
        <v>757.93</v>
      </c>
    </row>
    <row r="96" spans="1:10" x14ac:dyDescent="0.25">
      <c r="A96" t="s">
        <v>106</v>
      </c>
      <c r="B96" s="1">
        <v>45415</v>
      </c>
      <c r="C96" t="str">
        <f>TEXT(Table1[[#This Row],[Date]],"mmm")</f>
        <v>May</v>
      </c>
      <c r="D96" t="str">
        <f>TEXT(Table1[[#This Row],[Date]],"yyyy")</f>
        <v>2024</v>
      </c>
      <c r="E96" t="s">
        <v>17</v>
      </c>
      <c r="F96" t="s">
        <v>8</v>
      </c>
      <c r="G96" t="s">
        <v>13</v>
      </c>
      <c r="H96">
        <v>921.1</v>
      </c>
      <c r="I96">
        <v>1</v>
      </c>
      <c r="J96">
        <v>755.34</v>
      </c>
    </row>
    <row r="97" spans="1:10" x14ac:dyDescent="0.25">
      <c r="A97" t="s">
        <v>107</v>
      </c>
      <c r="B97" s="1">
        <v>45478</v>
      </c>
      <c r="C97" t="str">
        <f>TEXT(Table1[[#This Row],[Date]],"mmm")</f>
        <v>Jul</v>
      </c>
      <c r="D97" t="str">
        <f>TEXT(Table1[[#This Row],[Date]],"yyyy")</f>
        <v>2024</v>
      </c>
      <c r="E97" t="s">
        <v>10</v>
      </c>
      <c r="F97" t="s">
        <v>2</v>
      </c>
      <c r="G97" t="s">
        <v>13</v>
      </c>
      <c r="H97">
        <v>8455.77</v>
      </c>
      <c r="I97">
        <v>9</v>
      </c>
      <c r="J97">
        <v>643.9</v>
      </c>
    </row>
    <row r="98" spans="1:10" x14ac:dyDescent="0.25">
      <c r="A98" t="s">
        <v>108</v>
      </c>
      <c r="B98" s="1">
        <v>45206</v>
      </c>
      <c r="C98" t="str">
        <f>TEXT(Table1[[#This Row],[Date]],"mmm")</f>
        <v>Oct</v>
      </c>
      <c r="D98" t="str">
        <f>TEXT(Table1[[#This Row],[Date]],"yyyy")</f>
        <v>2023</v>
      </c>
      <c r="E98" t="s">
        <v>10</v>
      </c>
      <c r="F98" t="s">
        <v>2</v>
      </c>
      <c r="G98" t="s">
        <v>11</v>
      </c>
      <c r="H98">
        <v>3504.97</v>
      </c>
      <c r="I98">
        <v>7</v>
      </c>
      <c r="J98">
        <v>398.8</v>
      </c>
    </row>
    <row r="99" spans="1:10" x14ac:dyDescent="0.25">
      <c r="A99" t="s">
        <v>109</v>
      </c>
      <c r="B99" s="1">
        <v>45096</v>
      </c>
      <c r="C99" t="str">
        <f>TEXT(Table1[[#This Row],[Date]],"mmm")</f>
        <v>Jun</v>
      </c>
      <c r="D99" t="str">
        <f>TEXT(Table1[[#This Row],[Date]],"yyyy")</f>
        <v>2023</v>
      </c>
      <c r="E99" t="s">
        <v>1</v>
      </c>
      <c r="F99" t="s">
        <v>2</v>
      </c>
      <c r="G99" t="s">
        <v>13</v>
      </c>
      <c r="H99">
        <v>8801.4</v>
      </c>
      <c r="I99">
        <v>8</v>
      </c>
      <c r="J99">
        <v>737.24</v>
      </c>
    </row>
    <row r="100" spans="1:10" x14ac:dyDescent="0.25">
      <c r="A100" t="s">
        <v>110</v>
      </c>
      <c r="B100" s="1">
        <v>45330</v>
      </c>
      <c r="C100" t="str">
        <f>TEXT(Table1[[#This Row],[Date]],"mmm")</f>
        <v>Feb</v>
      </c>
      <c r="D100" t="str">
        <f>TEXT(Table1[[#This Row],[Date]],"yyyy")</f>
        <v>2024</v>
      </c>
      <c r="E100" t="s">
        <v>17</v>
      </c>
      <c r="F100" t="s">
        <v>8</v>
      </c>
      <c r="G100" t="s">
        <v>3</v>
      </c>
      <c r="H100">
        <v>5112.42</v>
      </c>
      <c r="I100">
        <v>10</v>
      </c>
      <c r="J100">
        <v>460.23</v>
      </c>
    </row>
    <row r="101" spans="1:10" x14ac:dyDescent="0.25">
      <c r="A101" t="s">
        <v>111</v>
      </c>
      <c r="B101" s="1">
        <v>45065</v>
      </c>
      <c r="C101" t="str">
        <f>TEXT(Table1[[#This Row],[Date]],"mmm")</f>
        <v>May</v>
      </c>
      <c r="D101" t="str">
        <f>TEXT(Table1[[#This Row],[Date]],"yyyy")</f>
        <v>2023</v>
      </c>
      <c r="E101" t="s">
        <v>1</v>
      </c>
      <c r="F101" t="s">
        <v>2</v>
      </c>
      <c r="G101" t="s">
        <v>13</v>
      </c>
      <c r="H101">
        <v>1558.06</v>
      </c>
      <c r="I101">
        <v>8</v>
      </c>
      <c r="J101">
        <v>161.75</v>
      </c>
    </row>
    <row r="102" spans="1:10" x14ac:dyDescent="0.25">
      <c r="A102" t="s">
        <v>112</v>
      </c>
      <c r="B102" s="1">
        <v>45392</v>
      </c>
      <c r="C102" t="str">
        <f>TEXT(Table1[[#This Row],[Date]],"mmm")</f>
        <v>Apr</v>
      </c>
      <c r="D102" t="str">
        <f>TEXT(Table1[[#This Row],[Date]],"yyyy")</f>
        <v>2024</v>
      </c>
      <c r="E102" t="s">
        <v>15</v>
      </c>
      <c r="F102" t="s">
        <v>8</v>
      </c>
      <c r="G102" t="s">
        <v>11</v>
      </c>
      <c r="H102">
        <v>2467.4299999999998</v>
      </c>
      <c r="I102">
        <v>6</v>
      </c>
      <c r="J102">
        <v>283.25</v>
      </c>
    </row>
    <row r="103" spans="1:10" x14ac:dyDescent="0.25">
      <c r="A103" t="s">
        <v>113</v>
      </c>
      <c r="B103" s="1">
        <v>45185</v>
      </c>
      <c r="C103" t="str">
        <f>TEXT(Table1[[#This Row],[Date]],"mmm")</f>
        <v>Sep</v>
      </c>
      <c r="D103" t="str">
        <f>TEXT(Table1[[#This Row],[Date]],"yyyy")</f>
        <v>2023</v>
      </c>
      <c r="E103" t="s">
        <v>15</v>
      </c>
      <c r="F103" t="s">
        <v>8</v>
      </c>
      <c r="G103" t="s">
        <v>13</v>
      </c>
      <c r="H103">
        <v>1082.8499999999999</v>
      </c>
      <c r="I103">
        <v>2</v>
      </c>
      <c r="J103">
        <v>386.84</v>
      </c>
    </row>
    <row r="104" spans="1:10" x14ac:dyDescent="0.25">
      <c r="A104" t="s">
        <v>114</v>
      </c>
      <c r="B104" s="1">
        <v>45156</v>
      </c>
      <c r="C104" t="str">
        <f>TEXT(Table1[[#This Row],[Date]],"mmm")</f>
        <v>Aug</v>
      </c>
      <c r="D104" t="str">
        <f>TEXT(Table1[[#This Row],[Date]],"yyyy")</f>
        <v>2023</v>
      </c>
      <c r="E104" t="s">
        <v>5</v>
      </c>
      <c r="F104" t="s">
        <v>2</v>
      </c>
      <c r="G104" t="s">
        <v>18</v>
      </c>
      <c r="H104">
        <v>1712.74</v>
      </c>
      <c r="I104">
        <v>2</v>
      </c>
      <c r="J104">
        <v>629.36</v>
      </c>
    </row>
    <row r="105" spans="1:10" x14ac:dyDescent="0.25">
      <c r="A105" t="s">
        <v>115</v>
      </c>
      <c r="B105" s="1">
        <v>45131</v>
      </c>
      <c r="C105" t="str">
        <f>TEXT(Table1[[#This Row],[Date]],"mmm")</f>
        <v>Jul</v>
      </c>
      <c r="D105" t="str">
        <f>TEXT(Table1[[#This Row],[Date]],"yyyy")</f>
        <v>2023</v>
      </c>
      <c r="E105" t="s">
        <v>5</v>
      </c>
      <c r="F105" t="s">
        <v>2</v>
      </c>
      <c r="G105" t="s">
        <v>11</v>
      </c>
      <c r="H105">
        <v>603.26</v>
      </c>
      <c r="I105">
        <v>1</v>
      </c>
      <c r="J105">
        <v>504.64</v>
      </c>
    </row>
    <row r="106" spans="1:10" x14ac:dyDescent="0.25">
      <c r="A106" t="s">
        <v>116</v>
      </c>
      <c r="B106" s="1">
        <v>45504</v>
      </c>
      <c r="C106" t="str">
        <f>TEXT(Table1[[#This Row],[Date]],"mmm")</f>
        <v>Jul</v>
      </c>
      <c r="D106" t="str">
        <f>TEXT(Table1[[#This Row],[Date]],"yyyy")</f>
        <v>2024</v>
      </c>
      <c r="E106" t="s">
        <v>10</v>
      </c>
      <c r="F106" t="s">
        <v>2</v>
      </c>
      <c r="G106" t="s">
        <v>3</v>
      </c>
      <c r="H106">
        <v>1840.93</v>
      </c>
      <c r="I106">
        <v>4</v>
      </c>
      <c r="J106">
        <v>382.73</v>
      </c>
    </row>
    <row r="107" spans="1:10" x14ac:dyDescent="0.25">
      <c r="A107" t="s">
        <v>117</v>
      </c>
      <c r="B107" s="1">
        <v>45547</v>
      </c>
      <c r="C107" t="str">
        <f>TEXT(Table1[[#This Row],[Date]],"mmm")</f>
        <v>Sep</v>
      </c>
      <c r="D107" t="str">
        <f>TEXT(Table1[[#This Row],[Date]],"yyyy")</f>
        <v>2024</v>
      </c>
      <c r="E107" t="s">
        <v>15</v>
      </c>
      <c r="F107" t="s">
        <v>8</v>
      </c>
      <c r="G107" t="s">
        <v>11</v>
      </c>
      <c r="H107">
        <v>10706.26</v>
      </c>
      <c r="I107">
        <v>10</v>
      </c>
      <c r="J107">
        <v>771.71</v>
      </c>
    </row>
    <row r="108" spans="1:10" x14ac:dyDescent="0.25">
      <c r="A108" t="s">
        <v>118</v>
      </c>
      <c r="B108" s="1">
        <v>45037</v>
      </c>
      <c r="C108" t="str">
        <f>TEXT(Table1[[#This Row],[Date]],"mmm")</f>
        <v>Apr</v>
      </c>
      <c r="D108" t="str">
        <f>TEXT(Table1[[#This Row],[Date]],"yyyy")</f>
        <v>2023</v>
      </c>
      <c r="E108" t="s">
        <v>7</v>
      </c>
      <c r="F108" t="s">
        <v>8</v>
      </c>
      <c r="G108" t="s">
        <v>18</v>
      </c>
      <c r="H108">
        <v>490.28</v>
      </c>
      <c r="I108">
        <v>10</v>
      </c>
      <c r="J108">
        <v>40.03</v>
      </c>
    </row>
    <row r="109" spans="1:10" x14ac:dyDescent="0.25">
      <c r="A109" t="s">
        <v>119</v>
      </c>
      <c r="B109" s="1">
        <v>45333</v>
      </c>
      <c r="C109" t="str">
        <f>TEXT(Table1[[#This Row],[Date]],"mmm")</f>
        <v>Feb</v>
      </c>
      <c r="D109" t="str">
        <f>TEXT(Table1[[#This Row],[Date]],"yyyy")</f>
        <v>2024</v>
      </c>
      <c r="E109" t="s">
        <v>1</v>
      </c>
      <c r="F109" t="s">
        <v>2</v>
      </c>
      <c r="G109" t="s">
        <v>13</v>
      </c>
      <c r="H109">
        <v>436.44</v>
      </c>
      <c r="I109">
        <v>4</v>
      </c>
      <c r="J109">
        <v>79.28</v>
      </c>
    </row>
    <row r="110" spans="1:10" x14ac:dyDescent="0.25">
      <c r="A110" t="s">
        <v>120</v>
      </c>
      <c r="B110" s="1">
        <v>45031</v>
      </c>
      <c r="C110" t="str">
        <f>TEXT(Table1[[#This Row],[Date]],"mmm")</f>
        <v>Apr</v>
      </c>
      <c r="D110" t="str">
        <f>TEXT(Table1[[#This Row],[Date]],"yyyy")</f>
        <v>2023</v>
      </c>
      <c r="E110" t="s">
        <v>1</v>
      </c>
      <c r="F110" t="s">
        <v>2</v>
      </c>
      <c r="G110" t="s">
        <v>11</v>
      </c>
      <c r="H110">
        <v>4578.2</v>
      </c>
      <c r="I110">
        <v>5</v>
      </c>
      <c r="J110">
        <v>683.23</v>
      </c>
    </row>
    <row r="111" spans="1:10" x14ac:dyDescent="0.25">
      <c r="A111" t="s">
        <v>121</v>
      </c>
      <c r="B111" s="1">
        <v>45282</v>
      </c>
      <c r="C111" t="str">
        <f>TEXT(Table1[[#This Row],[Date]],"mmm")</f>
        <v>Dec</v>
      </c>
      <c r="D111" t="str">
        <f>TEXT(Table1[[#This Row],[Date]],"yyyy")</f>
        <v>2023</v>
      </c>
      <c r="E111" t="s">
        <v>5</v>
      </c>
      <c r="F111" t="s">
        <v>2</v>
      </c>
      <c r="G111" t="s">
        <v>3</v>
      </c>
      <c r="H111">
        <v>3978.32</v>
      </c>
      <c r="I111">
        <v>9</v>
      </c>
      <c r="J111">
        <v>354.13</v>
      </c>
    </row>
    <row r="112" spans="1:10" x14ac:dyDescent="0.25">
      <c r="A112" t="s">
        <v>122</v>
      </c>
      <c r="B112" s="1">
        <v>44939</v>
      </c>
      <c r="C112" t="str">
        <f>TEXT(Table1[[#This Row],[Date]],"mmm")</f>
        <v>Jan</v>
      </c>
      <c r="D112" t="str">
        <f>TEXT(Table1[[#This Row],[Date]],"yyyy")</f>
        <v>2023</v>
      </c>
      <c r="E112" t="s">
        <v>17</v>
      </c>
      <c r="F112" t="s">
        <v>8</v>
      </c>
      <c r="G112" t="s">
        <v>18</v>
      </c>
      <c r="H112">
        <v>5288.39</v>
      </c>
      <c r="I112">
        <v>7</v>
      </c>
      <c r="J112">
        <v>661.42</v>
      </c>
    </row>
    <row r="113" spans="1:10" x14ac:dyDescent="0.25">
      <c r="A113" t="s">
        <v>123</v>
      </c>
      <c r="B113" s="1">
        <v>45651</v>
      </c>
      <c r="C113" t="str">
        <f>TEXT(Table1[[#This Row],[Date]],"mmm")</f>
        <v>Dec</v>
      </c>
      <c r="D113" t="str">
        <f>TEXT(Table1[[#This Row],[Date]],"yyyy")</f>
        <v>2024</v>
      </c>
      <c r="E113" t="s">
        <v>15</v>
      </c>
      <c r="F113" t="s">
        <v>8</v>
      </c>
      <c r="G113" t="s">
        <v>13</v>
      </c>
      <c r="H113">
        <v>1503.66</v>
      </c>
      <c r="I113">
        <v>3</v>
      </c>
      <c r="J113">
        <v>359.68</v>
      </c>
    </row>
    <row r="114" spans="1:10" x14ac:dyDescent="0.25">
      <c r="A114" t="s">
        <v>124</v>
      </c>
      <c r="B114" s="1">
        <v>45557</v>
      </c>
      <c r="C114" t="str">
        <f>TEXT(Table1[[#This Row],[Date]],"mmm")</f>
        <v>Sep</v>
      </c>
      <c r="D114" t="str">
        <f>TEXT(Table1[[#This Row],[Date]],"yyyy")</f>
        <v>2024</v>
      </c>
      <c r="E114" t="s">
        <v>1</v>
      </c>
      <c r="F114" t="s">
        <v>2</v>
      </c>
      <c r="G114" t="s">
        <v>18</v>
      </c>
      <c r="H114">
        <v>7224.44</v>
      </c>
      <c r="I114">
        <v>9</v>
      </c>
      <c r="J114">
        <v>624.22</v>
      </c>
    </row>
    <row r="115" spans="1:10" x14ac:dyDescent="0.25">
      <c r="A115" t="s">
        <v>125</v>
      </c>
      <c r="B115" s="1">
        <v>45257</v>
      </c>
      <c r="C115" t="str">
        <f>TEXT(Table1[[#This Row],[Date]],"mmm")</f>
        <v>Nov</v>
      </c>
      <c r="D115" t="str">
        <f>TEXT(Table1[[#This Row],[Date]],"yyyy")</f>
        <v>2023</v>
      </c>
      <c r="E115" t="s">
        <v>1</v>
      </c>
      <c r="F115" t="s">
        <v>2</v>
      </c>
      <c r="G115" t="s">
        <v>18</v>
      </c>
      <c r="H115">
        <v>3031.69</v>
      </c>
      <c r="I115">
        <v>4</v>
      </c>
      <c r="J115">
        <v>667.97</v>
      </c>
    </row>
    <row r="116" spans="1:10" x14ac:dyDescent="0.25">
      <c r="A116" t="s">
        <v>126</v>
      </c>
      <c r="B116" s="1">
        <v>45402</v>
      </c>
      <c r="C116" t="str">
        <f>TEXT(Table1[[#This Row],[Date]],"mmm")</f>
        <v>Apr</v>
      </c>
      <c r="D116" t="str">
        <f>TEXT(Table1[[#This Row],[Date]],"yyyy")</f>
        <v>2024</v>
      </c>
      <c r="E116" t="s">
        <v>10</v>
      </c>
      <c r="F116" t="s">
        <v>2</v>
      </c>
      <c r="G116" t="s">
        <v>11</v>
      </c>
      <c r="H116">
        <v>6208.67</v>
      </c>
      <c r="I116">
        <v>10</v>
      </c>
      <c r="J116">
        <v>496.06</v>
      </c>
    </row>
    <row r="117" spans="1:10" x14ac:dyDescent="0.25">
      <c r="A117" t="s">
        <v>127</v>
      </c>
      <c r="B117" s="1">
        <v>45259</v>
      </c>
      <c r="C117" t="str">
        <f>TEXT(Table1[[#This Row],[Date]],"mmm")</f>
        <v>Nov</v>
      </c>
      <c r="D117" t="str">
        <f>TEXT(Table1[[#This Row],[Date]],"yyyy")</f>
        <v>2023</v>
      </c>
      <c r="E117" t="s">
        <v>5</v>
      </c>
      <c r="F117" t="s">
        <v>2</v>
      </c>
      <c r="G117" t="s">
        <v>13</v>
      </c>
      <c r="H117">
        <v>1491.4</v>
      </c>
      <c r="I117">
        <v>3</v>
      </c>
      <c r="J117">
        <v>400.29</v>
      </c>
    </row>
    <row r="118" spans="1:10" x14ac:dyDescent="0.25">
      <c r="A118" t="s">
        <v>128</v>
      </c>
      <c r="B118" s="1">
        <v>45213</v>
      </c>
      <c r="C118" t="str">
        <f>TEXT(Table1[[#This Row],[Date]],"mmm")</f>
        <v>Oct</v>
      </c>
      <c r="D118" t="str">
        <f>TEXT(Table1[[#This Row],[Date]],"yyyy")</f>
        <v>2023</v>
      </c>
      <c r="E118" t="s">
        <v>15</v>
      </c>
      <c r="F118" t="s">
        <v>8</v>
      </c>
      <c r="G118" t="s">
        <v>18</v>
      </c>
      <c r="H118">
        <v>6862.61</v>
      </c>
      <c r="I118">
        <v>10</v>
      </c>
      <c r="J118">
        <v>566.91999999999996</v>
      </c>
    </row>
    <row r="119" spans="1:10" x14ac:dyDescent="0.25">
      <c r="A119" t="s">
        <v>129</v>
      </c>
      <c r="B119" s="1">
        <v>45014</v>
      </c>
      <c r="C119" t="str">
        <f>TEXT(Table1[[#This Row],[Date]],"mmm")</f>
        <v>Mar</v>
      </c>
      <c r="D119" t="str">
        <f>TEXT(Table1[[#This Row],[Date]],"yyyy")</f>
        <v>2023</v>
      </c>
      <c r="E119" t="s">
        <v>5</v>
      </c>
      <c r="F119" t="s">
        <v>2</v>
      </c>
      <c r="G119" t="s">
        <v>11</v>
      </c>
      <c r="H119">
        <v>3014</v>
      </c>
      <c r="I119">
        <v>4</v>
      </c>
      <c r="J119">
        <v>581.66</v>
      </c>
    </row>
    <row r="120" spans="1:10" x14ac:dyDescent="0.25">
      <c r="A120" t="s">
        <v>130</v>
      </c>
      <c r="B120" s="1">
        <v>45588</v>
      </c>
      <c r="C120" t="str">
        <f>TEXT(Table1[[#This Row],[Date]],"mmm")</f>
        <v>Oct</v>
      </c>
      <c r="D120" t="str">
        <f>TEXT(Table1[[#This Row],[Date]],"yyyy")</f>
        <v>2024</v>
      </c>
      <c r="E120" t="s">
        <v>7</v>
      </c>
      <c r="F120" t="s">
        <v>8</v>
      </c>
      <c r="G120" t="s">
        <v>13</v>
      </c>
      <c r="H120">
        <v>3272.7</v>
      </c>
      <c r="I120">
        <v>8</v>
      </c>
      <c r="J120">
        <v>369.58</v>
      </c>
    </row>
    <row r="121" spans="1:10" x14ac:dyDescent="0.25">
      <c r="A121" t="s">
        <v>131</v>
      </c>
      <c r="B121" s="1">
        <v>45341</v>
      </c>
      <c r="C121" t="str">
        <f>TEXT(Table1[[#This Row],[Date]],"mmm")</f>
        <v>Feb</v>
      </c>
      <c r="D121" t="str">
        <f>TEXT(Table1[[#This Row],[Date]],"yyyy")</f>
        <v>2024</v>
      </c>
      <c r="E121" t="s">
        <v>15</v>
      </c>
      <c r="F121" t="s">
        <v>8</v>
      </c>
      <c r="G121" t="s">
        <v>11</v>
      </c>
      <c r="H121">
        <v>1379.74</v>
      </c>
      <c r="I121">
        <v>4</v>
      </c>
      <c r="J121">
        <v>258.83999999999997</v>
      </c>
    </row>
    <row r="122" spans="1:10" x14ac:dyDescent="0.25">
      <c r="A122" t="s">
        <v>132</v>
      </c>
      <c r="B122" s="1">
        <v>45362</v>
      </c>
      <c r="C122" t="str">
        <f>TEXT(Table1[[#This Row],[Date]],"mmm")</f>
        <v>Mar</v>
      </c>
      <c r="D122" t="str">
        <f>TEXT(Table1[[#This Row],[Date]],"yyyy")</f>
        <v>2024</v>
      </c>
      <c r="E122" t="s">
        <v>10</v>
      </c>
      <c r="F122" t="s">
        <v>2</v>
      </c>
      <c r="G122" t="s">
        <v>18</v>
      </c>
      <c r="H122">
        <v>3455.87</v>
      </c>
      <c r="I122">
        <v>9</v>
      </c>
      <c r="J122">
        <v>278.02</v>
      </c>
    </row>
    <row r="123" spans="1:10" x14ac:dyDescent="0.25">
      <c r="A123" t="s">
        <v>133</v>
      </c>
      <c r="B123" s="1">
        <v>45184</v>
      </c>
      <c r="C123" t="str">
        <f>TEXT(Table1[[#This Row],[Date]],"mmm")</f>
        <v>Sep</v>
      </c>
      <c r="D123" t="str">
        <f>TEXT(Table1[[#This Row],[Date]],"yyyy")</f>
        <v>2023</v>
      </c>
      <c r="E123" t="s">
        <v>15</v>
      </c>
      <c r="F123" t="s">
        <v>8</v>
      </c>
      <c r="G123" t="s">
        <v>18</v>
      </c>
      <c r="H123">
        <v>537.25</v>
      </c>
      <c r="I123">
        <v>4</v>
      </c>
      <c r="J123">
        <v>114.11</v>
      </c>
    </row>
    <row r="124" spans="1:10" x14ac:dyDescent="0.25">
      <c r="A124" t="s">
        <v>134</v>
      </c>
      <c r="B124" s="1">
        <v>45123</v>
      </c>
      <c r="C124" t="str">
        <f>TEXT(Table1[[#This Row],[Date]],"mmm")</f>
        <v>Jul</v>
      </c>
      <c r="D124" t="str">
        <f>TEXT(Table1[[#This Row],[Date]],"yyyy")</f>
        <v>2023</v>
      </c>
      <c r="E124" t="s">
        <v>5</v>
      </c>
      <c r="F124" t="s">
        <v>2</v>
      </c>
      <c r="G124" t="s">
        <v>11</v>
      </c>
      <c r="H124">
        <v>2886.6</v>
      </c>
      <c r="I124">
        <v>4</v>
      </c>
      <c r="J124">
        <v>596.11</v>
      </c>
    </row>
    <row r="125" spans="1:10" x14ac:dyDescent="0.25">
      <c r="A125" t="s">
        <v>135</v>
      </c>
      <c r="B125" s="1">
        <v>45029</v>
      </c>
      <c r="C125" t="str">
        <f>TEXT(Table1[[#This Row],[Date]],"mmm")</f>
        <v>Apr</v>
      </c>
      <c r="D125" t="str">
        <f>TEXT(Table1[[#This Row],[Date]],"yyyy")</f>
        <v>2023</v>
      </c>
      <c r="E125" t="s">
        <v>17</v>
      </c>
      <c r="F125" t="s">
        <v>8</v>
      </c>
      <c r="G125" t="s">
        <v>18</v>
      </c>
      <c r="H125">
        <v>1249.68</v>
      </c>
      <c r="I125">
        <v>4</v>
      </c>
      <c r="J125">
        <v>251.07</v>
      </c>
    </row>
    <row r="126" spans="1:10" x14ac:dyDescent="0.25">
      <c r="A126" t="s">
        <v>136</v>
      </c>
      <c r="B126" s="1">
        <v>45652</v>
      </c>
      <c r="C126" t="str">
        <f>TEXT(Table1[[#This Row],[Date]],"mmm")</f>
        <v>Dec</v>
      </c>
      <c r="D126" t="str">
        <f>TEXT(Table1[[#This Row],[Date]],"yyyy")</f>
        <v>2024</v>
      </c>
      <c r="E126" t="s">
        <v>15</v>
      </c>
      <c r="F126" t="s">
        <v>8</v>
      </c>
      <c r="G126" t="s">
        <v>3</v>
      </c>
      <c r="H126">
        <v>1194.8800000000001</v>
      </c>
      <c r="I126">
        <v>9</v>
      </c>
      <c r="J126">
        <v>118.73</v>
      </c>
    </row>
    <row r="127" spans="1:10" x14ac:dyDescent="0.25">
      <c r="A127" t="s">
        <v>137</v>
      </c>
      <c r="B127" s="1">
        <v>45641</v>
      </c>
      <c r="C127" t="str">
        <f>TEXT(Table1[[#This Row],[Date]],"mmm")</f>
        <v>Dec</v>
      </c>
      <c r="D127" t="str">
        <f>TEXT(Table1[[#This Row],[Date]],"yyyy")</f>
        <v>2024</v>
      </c>
      <c r="E127" t="s">
        <v>5</v>
      </c>
      <c r="F127" t="s">
        <v>2</v>
      </c>
      <c r="G127" t="s">
        <v>18</v>
      </c>
      <c r="H127">
        <v>2175.4</v>
      </c>
      <c r="I127">
        <v>3</v>
      </c>
      <c r="J127">
        <v>517.54</v>
      </c>
    </row>
    <row r="128" spans="1:10" x14ac:dyDescent="0.25">
      <c r="A128" t="s">
        <v>138</v>
      </c>
      <c r="B128" s="1">
        <v>45514</v>
      </c>
      <c r="C128" t="str">
        <f>TEXT(Table1[[#This Row],[Date]],"mmm")</f>
        <v>Aug</v>
      </c>
      <c r="D128" t="str">
        <f>TEXT(Table1[[#This Row],[Date]],"yyyy")</f>
        <v>2024</v>
      </c>
      <c r="E128" t="s">
        <v>5</v>
      </c>
      <c r="F128" t="s">
        <v>2</v>
      </c>
      <c r="G128" t="s">
        <v>3</v>
      </c>
      <c r="H128">
        <v>2463.87</v>
      </c>
      <c r="I128">
        <v>5</v>
      </c>
      <c r="J128">
        <v>386.13</v>
      </c>
    </row>
    <row r="129" spans="1:10" x14ac:dyDescent="0.25">
      <c r="A129" t="s">
        <v>139</v>
      </c>
      <c r="B129" s="1">
        <v>45185</v>
      </c>
      <c r="C129" t="str">
        <f>TEXT(Table1[[#This Row],[Date]],"mmm")</f>
        <v>Sep</v>
      </c>
      <c r="D129" t="str">
        <f>TEXT(Table1[[#This Row],[Date]],"yyyy")</f>
        <v>2023</v>
      </c>
      <c r="E129" t="s">
        <v>7</v>
      </c>
      <c r="F129" t="s">
        <v>8</v>
      </c>
      <c r="G129" t="s">
        <v>3</v>
      </c>
      <c r="H129">
        <v>981.9</v>
      </c>
      <c r="I129">
        <v>8</v>
      </c>
      <c r="J129">
        <v>108.99</v>
      </c>
    </row>
    <row r="130" spans="1:10" x14ac:dyDescent="0.25">
      <c r="A130" t="s">
        <v>140</v>
      </c>
      <c r="B130" s="1">
        <v>45517</v>
      </c>
      <c r="C130" t="str">
        <f>TEXT(Table1[[#This Row],[Date]],"mmm")</f>
        <v>Aug</v>
      </c>
      <c r="D130" t="str">
        <f>TEXT(Table1[[#This Row],[Date]],"yyyy")</f>
        <v>2024</v>
      </c>
      <c r="E130" t="s">
        <v>10</v>
      </c>
      <c r="F130" t="s">
        <v>2</v>
      </c>
      <c r="G130" t="s">
        <v>3</v>
      </c>
      <c r="H130">
        <v>197.07</v>
      </c>
      <c r="I130">
        <v>1</v>
      </c>
      <c r="J130">
        <v>138.35</v>
      </c>
    </row>
    <row r="131" spans="1:10" x14ac:dyDescent="0.25">
      <c r="A131" t="s">
        <v>141</v>
      </c>
      <c r="B131" s="1">
        <v>45181</v>
      </c>
      <c r="C131" t="str">
        <f>TEXT(Table1[[#This Row],[Date]],"mmm")</f>
        <v>Sep</v>
      </c>
      <c r="D131" t="str">
        <f>TEXT(Table1[[#This Row],[Date]],"yyyy")</f>
        <v>2023</v>
      </c>
      <c r="E131" t="s">
        <v>15</v>
      </c>
      <c r="F131" t="s">
        <v>8</v>
      </c>
      <c r="G131" t="s">
        <v>3</v>
      </c>
      <c r="H131">
        <v>1153.25</v>
      </c>
      <c r="I131">
        <v>2</v>
      </c>
      <c r="J131">
        <v>455.3</v>
      </c>
    </row>
    <row r="132" spans="1:10" x14ac:dyDescent="0.25">
      <c r="A132" t="s">
        <v>142</v>
      </c>
      <c r="B132" s="1">
        <v>45462</v>
      </c>
      <c r="C132" t="str">
        <f>TEXT(Table1[[#This Row],[Date]],"mmm")</f>
        <v>Jun</v>
      </c>
      <c r="D132" t="str">
        <f>TEXT(Table1[[#This Row],[Date]],"yyyy")</f>
        <v>2024</v>
      </c>
      <c r="E132" t="s">
        <v>17</v>
      </c>
      <c r="F132" t="s">
        <v>8</v>
      </c>
      <c r="G132" t="s">
        <v>11</v>
      </c>
      <c r="H132">
        <v>3320.17</v>
      </c>
      <c r="I132">
        <v>7</v>
      </c>
      <c r="J132">
        <v>371.4</v>
      </c>
    </row>
    <row r="133" spans="1:10" x14ac:dyDescent="0.25">
      <c r="A133" t="s">
        <v>143</v>
      </c>
      <c r="B133" s="1">
        <v>45239</v>
      </c>
      <c r="C133" t="str">
        <f>TEXT(Table1[[#This Row],[Date]],"mmm")</f>
        <v>Nov</v>
      </c>
      <c r="D133" t="str">
        <f>TEXT(Table1[[#This Row],[Date]],"yyyy")</f>
        <v>2023</v>
      </c>
      <c r="E133" t="s">
        <v>17</v>
      </c>
      <c r="F133" t="s">
        <v>8</v>
      </c>
      <c r="G133" t="s">
        <v>13</v>
      </c>
      <c r="H133">
        <v>6778.39</v>
      </c>
      <c r="I133">
        <v>10</v>
      </c>
      <c r="J133">
        <v>504.4</v>
      </c>
    </row>
    <row r="134" spans="1:10" x14ac:dyDescent="0.25">
      <c r="A134" t="s">
        <v>144</v>
      </c>
      <c r="B134" s="1">
        <v>45139</v>
      </c>
      <c r="C134" t="str">
        <f>TEXT(Table1[[#This Row],[Date]],"mmm")</f>
        <v>Aug</v>
      </c>
      <c r="D134" t="str">
        <f>TEXT(Table1[[#This Row],[Date]],"yyyy")</f>
        <v>2023</v>
      </c>
      <c r="E134" t="s">
        <v>1</v>
      </c>
      <c r="F134" t="s">
        <v>2</v>
      </c>
      <c r="G134" t="s">
        <v>3</v>
      </c>
      <c r="H134">
        <v>1025.6600000000001</v>
      </c>
      <c r="I134">
        <v>4</v>
      </c>
      <c r="J134">
        <v>226.42</v>
      </c>
    </row>
    <row r="135" spans="1:10" x14ac:dyDescent="0.25">
      <c r="A135" t="s">
        <v>145</v>
      </c>
      <c r="B135" s="1">
        <v>45492</v>
      </c>
      <c r="C135" t="str">
        <f>TEXT(Table1[[#This Row],[Date]],"mmm")</f>
        <v>Jul</v>
      </c>
      <c r="D135" t="str">
        <f>TEXT(Table1[[#This Row],[Date]],"yyyy")</f>
        <v>2024</v>
      </c>
      <c r="E135" t="s">
        <v>7</v>
      </c>
      <c r="F135" t="s">
        <v>8</v>
      </c>
      <c r="G135" t="s">
        <v>11</v>
      </c>
      <c r="H135">
        <v>359.06</v>
      </c>
      <c r="I135">
        <v>2</v>
      </c>
      <c r="J135">
        <v>142.1</v>
      </c>
    </row>
    <row r="136" spans="1:10" x14ac:dyDescent="0.25">
      <c r="A136" t="s">
        <v>146</v>
      </c>
      <c r="B136" s="1">
        <v>45225</v>
      </c>
      <c r="C136" t="str">
        <f>TEXT(Table1[[#This Row],[Date]],"mmm")</f>
        <v>Oct</v>
      </c>
      <c r="D136" t="str">
        <f>TEXT(Table1[[#This Row],[Date]],"yyyy")</f>
        <v>2023</v>
      </c>
      <c r="E136" t="s">
        <v>1</v>
      </c>
      <c r="F136" t="s">
        <v>2</v>
      </c>
      <c r="G136" t="s">
        <v>13</v>
      </c>
      <c r="H136">
        <v>277.32</v>
      </c>
      <c r="I136">
        <v>1</v>
      </c>
      <c r="J136">
        <v>200.55</v>
      </c>
    </row>
    <row r="137" spans="1:10" x14ac:dyDescent="0.25">
      <c r="A137" t="s">
        <v>147</v>
      </c>
      <c r="B137" s="1">
        <v>44999</v>
      </c>
      <c r="C137" t="str">
        <f>TEXT(Table1[[#This Row],[Date]],"mmm")</f>
        <v>Mar</v>
      </c>
      <c r="D137" t="str">
        <f>TEXT(Table1[[#This Row],[Date]],"yyyy")</f>
        <v>2023</v>
      </c>
      <c r="E137" t="s">
        <v>1</v>
      </c>
      <c r="F137" t="s">
        <v>2</v>
      </c>
      <c r="G137" t="s">
        <v>13</v>
      </c>
      <c r="H137">
        <v>4192.47</v>
      </c>
      <c r="I137">
        <v>4</v>
      </c>
      <c r="J137">
        <v>740.65</v>
      </c>
    </row>
    <row r="138" spans="1:10" x14ac:dyDescent="0.25">
      <c r="A138" t="s">
        <v>148</v>
      </c>
      <c r="B138" s="1">
        <v>45362</v>
      </c>
      <c r="C138" t="str">
        <f>TEXT(Table1[[#This Row],[Date]],"mmm")</f>
        <v>Mar</v>
      </c>
      <c r="D138" t="str">
        <f>TEXT(Table1[[#This Row],[Date]],"yyyy")</f>
        <v>2024</v>
      </c>
      <c r="E138" t="s">
        <v>1</v>
      </c>
      <c r="F138" t="s">
        <v>2</v>
      </c>
      <c r="G138" t="s">
        <v>11</v>
      </c>
      <c r="H138">
        <v>1208.9100000000001</v>
      </c>
      <c r="I138">
        <v>2</v>
      </c>
      <c r="J138">
        <v>444.76</v>
      </c>
    </row>
    <row r="139" spans="1:10" x14ac:dyDescent="0.25">
      <c r="A139" t="s">
        <v>149</v>
      </c>
      <c r="B139" s="1">
        <v>45000</v>
      </c>
      <c r="C139" t="str">
        <f>TEXT(Table1[[#This Row],[Date]],"mmm")</f>
        <v>Mar</v>
      </c>
      <c r="D139" t="str">
        <f>TEXT(Table1[[#This Row],[Date]],"yyyy")</f>
        <v>2023</v>
      </c>
      <c r="E139" t="s">
        <v>15</v>
      </c>
      <c r="F139" t="s">
        <v>8</v>
      </c>
      <c r="G139" t="s">
        <v>11</v>
      </c>
      <c r="H139">
        <v>182.75</v>
      </c>
      <c r="I139">
        <v>1</v>
      </c>
      <c r="J139">
        <v>149.41999999999999</v>
      </c>
    </row>
    <row r="140" spans="1:10" x14ac:dyDescent="0.25">
      <c r="A140" t="s">
        <v>150</v>
      </c>
      <c r="B140" s="1">
        <v>45376</v>
      </c>
      <c r="C140" t="str">
        <f>TEXT(Table1[[#This Row],[Date]],"mmm")</f>
        <v>Mar</v>
      </c>
      <c r="D140" t="str">
        <f>TEXT(Table1[[#This Row],[Date]],"yyyy")</f>
        <v>2024</v>
      </c>
      <c r="E140" t="s">
        <v>1</v>
      </c>
      <c r="F140" t="s">
        <v>2</v>
      </c>
      <c r="G140" t="s">
        <v>18</v>
      </c>
      <c r="H140">
        <v>942.08</v>
      </c>
      <c r="I140">
        <v>2</v>
      </c>
      <c r="J140">
        <v>385.58</v>
      </c>
    </row>
    <row r="141" spans="1:10" x14ac:dyDescent="0.25">
      <c r="A141" t="s">
        <v>151</v>
      </c>
      <c r="B141" s="1">
        <v>45439</v>
      </c>
      <c r="C141" t="str">
        <f>TEXT(Table1[[#This Row],[Date]],"mmm")</f>
        <v>May</v>
      </c>
      <c r="D141" t="str">
        <f>TEXT(Table1[[#This Row],[Date]],"yyyy")</f>
        <v>2024</v>
      </c>
      <c r="E141" t="s">
        <v>10</v>
      </c>
      <c r="F141" t="s">
        <v>2</v>
      </c>
      <c r="G141" t="s">
        <v>18</v>
      </c>
      <c r="H141">
        <v>4128.41</v>
      </c>
      <c r="I141">
        <v>9</v>
      </c>
      <c r="J141">
        <v>405.16</v>
      </c>
    </row>
    <row r="142" spans="1:10" x14ac:dyDescent="0.25">
      <c r="A142" t="s">
        <v>152</v>
      </c>
      <c r="B142" s="1">
        <v>45257</v>
      </c>
      <c r="C142" t="str">
        <f>TEXT(Table1[[#This Row],[Date]],"mmm")</f>
        <v>Nov</v>
      </c>
      <c r="D142" t="str">
        <f>TEXT(Table1[[#This Row],[Date]],"yyyy")</f>
        <v>2023</v>
      </c>
      <c r="E142" t="s">
        <v>5</v>
      </c>
      <c r="F142" t="s">
        <v>2</v>
      </c>
      <c r="G142" t="s">
        <v>13</v>
      </c>
      <c r="H142">
        <v>2446.84</v>
      </c>
      <c r="I142">
        <v>10</v>
      </c>
      <c r="J142">
        <v>215.29</v>
      </c>
    </row>
    <row r="143" spans="1:10" x14ac:dyDescent="0.25">
      <c r="A143" t="s">
        <v>153</v>
      </c>
      <c r="B143" s="1">
        <v>45615</v>
      </c>
      <c r="C143" t="str">
        <f>TEXT(Table1[[#This Row],[Date]],"mmm")</f>
        <v>Nov</v>
      </c>
      <c r="D143" t="str">
        <f>TEXT(Table1[[#This Row],[Date]],"yyyy")</f>
        <v>2024</v>
      </c>
      <c r="E143" t="s">
        <v>1</v>
      </c>
      <c r="F143" t="s">
        <v>2</v>
      </c>
      <c r="G143" t="s">
        <v>3</v>
      </c>
      <c r="H143">
        <v>3298.6</v>
      </c>
      <c r="I143">
        <v>5</v>
      </c>
      <c r="J143">
        <v>469.47</v>
      </c>
    </row>
    <row r="144" spans="1:10" x14ac:dyDescent="0.25">
      <c r="A144" t="s">
        <v>154</v>
      </c>
      <c r="B144" s="1">
        <v>45458</v>
      </c>
      <c r="C144" t="str">
        <f>TEXT(Table1[[#This Row],[Date]],"mmm")</f>
        <v>Jun</v>
      </c>
      <c r="D144" t="str">
        <f>TEXT(Table1[[#This Row],[Date]],"yyyy")</f>
        <v>2024</v>
      </c>
      <c r="E144" t="s">
        <v>7</v>
      </c>
      <c r="F144" t="s">
        <v>8</v>
      </c>
      <c r="G144" t="s">
        <v>13</v>
      </c>
      <c r="H144">
        <v>6890.55</v>
      </c>
      <c r="I144">
        <v>8</v>
      </c>
      <c r="J144">
        <v>734.54</v>
      </c>
    </row>
    <row r="145" spans="1:10" x14ac:dyDescent="0.25">
      <c r="A145" t="s">
        <v>155</v>
      </c>
      <c r="B145" s="1">
        <v>45577</v>
      </c>
      <c r="C145" t="str">
        <f>TEXT(Table1[[#This Row],[Date]],"mmm")</f>
        <v>Oct</v>
      </c>
      <c r="D145" t="str">
        <f>TEXT(Table1[[#This Row],[Date]],"yyyy")</f>
        <v>2024</v>
      </c>
      <c r="E145" t="s">
        <v>17</v>
      </c>
      <c r="F145" t="s">
        <v>8</v>
      </c>
      <c r="G145" t="s">
        <v>13</v>
      </c>
      <c r="H145">
        <v>7994.49</v>
      </c>
      <c r="I145">
        <v>8</v>
      </c>
      <c r="J145">
        <v>775.86</v>
      </c>
    </row>
    <row r="146" spans="1:10" x14ac:dyDescent="0.25">
      <c r="A146" t="s">
        <v>156</v>
      </c>
      <c r="B146" s="1">
        <v>45255</v>
      </c>
      <c r="C146" t="str">
        <f>TEXT(Table1[[#This Row],[Date]],"mmm")</f>
        <v>Nov</v>
      </c>
      <c r="D146" t="str">
        <f>TEXT(Table1[[#This Row],[Date]],"yyyy")</f>
        <v>2023</v>
      </c>
      <c r="E146" t="s">
        <v>10</v>
      </c>
      <c r="F146" t="s">
        <v>2</v>
      </c>
      <c r="G146" t="s">
        <v>18</v>
      </c>
      <c r="H146">
        <v>1697.66</v>
      </c>
      <c r="I146">
        <v>2</v>
      </c>
      <c r="J146">
        <v>689.03</v>
      </c>
    </row>
    <row r="147" spans="1:10" x14ac:dyDescent="0.25">
      <c r="A147" t="s">
        <v>157</v>
      </c>
      <c r="B147" s="1">
        <v>45222</v>
      </c>
      <c r="C147" t="str">
        <f>TEXT(Table1[[#This Row],[Date]],"mmm")</f>
        <v>Oct</v>
      </c>
      <c r="D147" t="str">
        <f>TEXT(Table1[[#This Row],[Date]],"yyyy")</f>
        <v>2023</v>
      </c>
      <c r="E147" t="s">
        <v>1</v>
      </c>
      <c r="F147" t="s">
        <v>2</v>
      </c>
      <c r="G147" t="s">
        <v>13</v>
      </c>
      <c r="H147">
        <v>6048.5</v>
      </c>
      <c r="I147">
        <v>7</v>
      </c>
      <c r="J147">
        <v>654.58000000000004</v>
      </c>
    </row>
    <row r="148" spans="1:10" x14ac:dyDescent="0.25">
      <c r="A148" t="s">
        <v>158</v>
      </c>
      <c r="B148" s="1">
        <v>45249</v>
      </c>
      <c r="C148" t="str">
        <f>TEXT(Table1[[#This Row],[Date]],"mmm")</f>
        <v>Nov</v>
      </c>
      <c r="D148" t="str">
        <f>TEXT(Table1[[#This Row],[Date]],"yyyy")</f>
        <v>2023</v>
      </c>
      <c r="E148" t="s">
        <v>10</v>
      </c>
      <c r="F148" t="s">
        <v>2</v>
      </c>
      <c r="G148" t="s">
        <v>3</v>
      </c>
      <c r="H148">
        <v>2024.9</v>
      </c>
      <c r="I148">
        <v>5</v>
      </c>
      <c r="J148">
        <v>272.14999999999998</v>
      </c>
    </row>
    <row r="149" spans="1:10" x14ac:dyDescent="0.25">
      <c r="A149" t="s">
        <v>159</v>
      </c>
      <c r="B149" s="1">
        <v>45600</v>
      </c>
      <c r="C149" t="str">
        <f>TEXT(Table1[[#This Row],[Date]],"mmm")</f>
        <v>Nov</v>
      </c>
      <c r="D149" t="str">
        <f>TEXT(Table1[[#This Row],[Date]],"yyyy")</f>
        <v>2024</v>
      </c>
      <c r="E149" t="s">
        <v>10</v>
      </c>
      <c r="F149" t="s">
        <v>2</v>
      </c>
      <c r="G149" t="s">
        <v>3</v>
      </c>
      <c r="H149">
        <v>3839.58</v>
      </c>
      <c r="I149">
        <v>9</v>
      </c>
      <c r="J149">
        <v>380.34</v>
      </c>
    </row>
    <row r="150" spans="1:10" x14ac:dyDescent="0.25">
      <c r="A150" t="s">
        <v>160</v>
      </c>
      <c r="B150" s="1">
        <v>45564</v>
      </c>
      <c r="C150" t="str">
        <f>TEXT(Table1[[#This Row],[Date]],"mmm")</f>
        <v>Sep</v>
      </c>
      <c r="D150" t="str">
        <f>TEXT(Table1[[#This Row],[Date]],"yyyy")</f>
        <v>2024</v>
      </c>
      <c r="E150" t="s">
        <v>17</v>
      </c>
      <c r="F150" t="s">
        <v>8</v>
      </c>
      <c r="G150" t="s">
        <v>18</v>
      </c>
      <c r="H150">
        <v>5703.82</v>
      </c>
      <c r="I150">
        <v>8</v>
      </c>
      <c r="J150">
        <v>507.82</v>
      </c>
    </row>
    <row r="151" spans="1:10" x14ac:dyDescent="0.25">
      <c r="A151" t="s">
        <v>161</v>
      </c>
      <c r="B151" s="1">
        <v>45489</v>
      </c>
      <c r="C151" t="str">
        <f>TEXT(Table1[[#This Row],[Date]],"mmm")</f>
        <v>Jul</v>
      </c>
      <c r="D151" t="str">
        <f>TEXT(Table1[[#This Row],[Date]],"yyyy")</f>
        <v>2024</v>
      </c>
      <c r="E151" t="s">
        <v>7</v>
      </c>
      <c r="F151" t="s">
        <v>8</v>
      </c>
      <c r="G151" t="s">
        <v>18</v>
      </c>
      <c r="H151">
        <v>2844.74</v>
      </c>
      <c r="I151">
        <v>3</v>
      </c>
      <c r="J151">
        <v>743.58</v>
      </c>
    </row>
    <row r="152" spans="1:10" x14ac:dyDescent="0.25">
      <c r="A152" t="s">
        <v>162</v>
      </c>
      <c r="B152" s="1">
        <v>45051</v>
      </c>
      <c r="C152" t="str">
        <f>TEXT(Table1[[#This Row],[Date]],"mmm")</f>
        <v>May</v>
      </c>
      <c r="D152" t="str">
        <f>TEXT(Table1[[#This Row],[Date]],"yyyy")</f>
        <v>2023</v>
      </c>
      <c r="E152" t="s">
        <v>1</v>
      </c>
      <c r="F152" t="s">
        <v>2</v>
      </c>
      <c r="G152" t="s">
        <v>13</v>
      </c>
      <c r="H152">
        <v>1046.69</v>
      </c>
      <c r="I152">
        <v>1</v>
      </c>
      <c r="J152">
        <v>779.05</v>
      </c>
    </row>
    <row r="153" spans="1:10" x14ac:dyDescent="0.25">
      <c r="A153" t="s">
        <v>163</v>
      </c>
      <c r="B153" s="1">
        <v>45245</v>
      </c>
      <c r="C153" t="str">
        <f>TEXT(Table1[[#This Row],[Date]],"mmm")</f>
        <v>Nov</v>
      </c>
      <c r="D153" t="str">
        <f>TEXT(Table1[[#This Row],[Date]],"yyyy")</f>
        <v>2023</v>
      </c>
      <c r="E153" t="s">
        <v>7</v>
      </c>
      <c r="F153" t="s">
        <v>8</v>
      </c>
      <c r="G153" t="s">
        <v>11</v>
      </c>
      <c r="H153">
        <v>348.68</v>
      </c>
      <c r="I153">
        <v>9</v>
      </c>
      <c r="J153">
        <v>30.67</v>
      </c>
    </row>
    <row r="154" spans="1:10" x14ac:dyDescent="0.25">
      <c r="A154" t="s">
        <v>164</v>
      </c>
      <c r="B154" s="1">
        <v>45399</v>
      </c>
      <c r="C154" t="str">
        <f>TEXT(Table1[[#This Row],[Date]],"mmm")</f>
        <v>Apr</v>
      </c>
      <c r="D154" t="str">
        <f>TEXT(Table1[[#This Row],[Date]],"yyyy")</f>
        <v>2024</v>
      </c>
      <c r="E154" t="s">
        <v>7</v>
      </c>
      <c r="F154" t="s">
        <v>8</v>
      </c>
      <c r="G154" t="s">
        <v>3</v>
      </c>
      <c r="H154">
        <v>1220.1600000000001</v>
      </c>
      <c r="I154">
        <v>2</v>
      </c>
      <c r="J154">
        <v>525.21</v>
      </c>
    </row>
    <row r="155" spans="1:10" x14ac:dyDescent="0.25">
      <c r="A155" t="s">
        <v>165</v>
      </c>
      <c r="B155" s="1">
        <v>45448</v>
      </c>
      <c r="C155" t="str">
        <f>TEXT(Table1[[#This Row],[Date]],"mmm")</f>
        <v>Jun</v>
      </c>
      <c r="D155" t="str">
        <f>TEXT(Table1[[#This Row],[Date]],"yyyy")</f>
        <v>2024</v>
      </c>
      <c r="E155" t="s">
        <v>1</v>
      </c>
      <c r="F155" t="s">
        <v>2</v>
      </c>
      <c r="G155" t="s">
        <v>18</v>
      </c>
      <c r="H155">
        <v>2224.48</v>
      </c>
      <c r="I155">
        <v>5</v>
      </c>
      <c r="J155">
        <v>344.08</v>
      </c>
    </row>
    <row r="156" spans="1:10" x14ac:dyDescent="0.25">
      <c r="A156" t="s">
        <v>166</v>
      </c>
      <c r="B156" s="1">
        <v>45394</v>
      </c>
      <c r="C156" t="str">
        <f>TEXT(Table1[[#This Row],[Date]],"mmm")</f>
        <v>Apr</v>
      </c>
      <c r="D156" t="str">
        <f>TEXT(Table1[[#This Row],[Date]],"yyyy")</f>
        <v>2024</v>
      </c>
      <c r="E156" t="s">
        <v>10</v>
      </c>
      <c r="F156" t="s">
        <v>2</v>
      </c>
      <c r="G156" t="s">
        <v>11</v>
      </c>
      <c r="H156">
        <v>1406.06</v>
      </c>
      <c r="I156">
        <v>9</v>
      </c>
      <c r="J156">
        <v>132.82</v>
      </c>
    </row>
    <row r="157" spans="1:10" x14ac:dyDescent="0.25">
      <c r="A157" t="s">
        <v>167</v>
      </c>
      <c r="B157" s="1">
        <v>44998</v>
      </c>
      <c r="C157" t="str">
        <f>TEXT(Table1[[#This Row],[Date]],"mmm")</f>
        <v>Mar</v>
      </c>
      <c r="D157" t="str">
        <f>TEXT(Table1[[#This Row],[Date]],"yyyy")</f>
        <v>2023</v>
      </c>
      <c r="E157" t="s">
        <v>17</v>
      </c>
      <c r="F157" t="s">
        <v>8</v>
      </c>
      <c r="G157" t="s">
        <v>11</v>
      </c>
      <c r="H157">
        <v>4488.8599999999997</v>
      </c>
      <c r="I157">
        <v>5</v>
      </c>
      <c r="J157">
        <v>622.69000000000005</v>
      </c>
    </row>
    <row r="158" spans="1:10" x14ac:dyDescent="0.25">
      <c r="A158" t="s">
        <v>168</v>
      </c>
      <c r="B158" s="1">
        <v>44929</v>
      </c>
      <c r="C158" t="str">
        <f>TEXT(Table1[[#This Row],[Date]],"mmm")</f>
        <v>Jan</v>
      </c>
      <c r="D158" t="str">
        <f>TEXT(Table1[[#This Row],[Date]],"yyyy")</f>
        <v>2023</v>
      </c>
      <c r="E158" t="s">
        <v>15</v>
      </c>
      <c r="F158" t="s">
        <v>8</v>
      </c>
      <c r="G158" t="s">
        <v>18</v>
      </c>
      <c r="H158">
        <v>4206.82</v>
      </c>
      <c r="I158">
        <v>5</v>
      </c>
      <c r="J158">
        <v>586.32000000000005</v>
      </c>
    </row>
    <row r="159" spans="1:10" x14ac:dyDescent="0.25">
      <c r="A159" t="s">
        <v>169</v>
      </c>
      <c r="B159" s="1">
        <v>45079</v>
      </c>
      <c r="C159" t="str">
        <f>TEXT(Table1[[#This Row],[Date]],"mmm")</f>
        <v>Jun</v>
      </c>
      <c r="D159" t="str">
        <f>TEXT(Table1[[#This Row],[Date]],"yyyy")</f>
        <v>2023</v>
      </c>
      <c r="E159" t="s">
        <v>17</v>
      </c>
      <c r="F159" t="s">
        <v>8</v>
      </c>
      <c r="G159" t="s">
        <v>13</v>
      </c>
      <c r="H159">
        <v>4358.83</v>
      </c>
      <c r="I159">
        <v>8</v>
      </c>
      <c r="J159">
        <v>440.09</v>
      </c>
    </row>
    <row r="160" spans="1:10" x14ac:dyDescent="0.25">
      <c r="A160" t="s">
        <v>170</v>
      </c>
      <c r="B160" s="1">
        <v>45393</v>
      </c>
      <c r="C160" t="str">
        <f>TEXT(Table1[[#This Row],[Date]],"mmm")</f>
        <v>Apr</v>
      </c>
      <c r="D160" t="str">
        <f>TEXT(Table1[[#This Row],[Date]],"yyyy")</f>
        <v>2024</v>
      </c>
      <c r="E160" t="s">
        <v>17</v>
      </c>
      <c r="F160" t="s">
        <v>8</v>
      </c>
      <c r="G160" t="s">
        <v>13</v>
      </c>
      <c r="H160">
        <v>6252.39</v>
      </c>
      <c r="I160">
        <v>6</v>
      </c>
      <c r="J160">
        <v>698.29</v>
      </c>
    </row>
    <row r="161" spans="1:10" x14ac:dyDescent="0.25">
      <c r="A161" t="s">
        <v>171</v>
      </c>
      <c r="B161" s="1">
        <v>45166</v>
      </c>
      <c r="C161" t="str">
        <f>TEXT(Table1[[#This Row],[Date]],"mmm")</f>
        <v>Aug</v>
      </c>
      <c r="D161" t="str">
        <f>TEXT(Table1[[#This Row],[Date]],"yyyy")</f>
        <v>2023</v>
      </c>
      <c r="E161" t="s">
        <v>7</v>
      </c>
      <c r="F161" t="s">
        <v>8</v>
      </c>
      <c r="G161" t="s">
        <v>13</v>
      </c>
      <c r="H161">
        <v>528.79</v>
      </c>
      <c r="I161">
        <v>7</v>
      </c>
      <c r="J161">
        <v>54.04</v>
      </c>
    </row>
    <row r="162" spans="1:10" x14ac:dyDescent="0.25">
      <c r="A162" t="s">
        <v>172</v>
      </c>
      <c r="B162" s="1">
        <v>45322</v>
      </c>
      <c r="C162" t="str">
        <f>TEXT(Table1[[#This Row],[Date]],"mmm")</f>
        <v>Jan</v>
      </c>
      <c r="D162" t="str">
        <f>TEXT(Table1[[#This Row],[Date]],"yyyy")</f>
        <v>2024</v>
      </c>
      <c r="E162" t="s">
        <v>1</v>
      </c>
      <c r="F162" t="s">
        <v>2</v>
      </c>
      <c r="G162" t="s">
        <v>13</v>
      </c>
      <c r="H162">
        <v>1359.04</v>
      </c>
      <c r="I162">
        <v>3</v>
      </c>
      <c r="J162">
        <v>406.36</v>
      </c>
    </row>
    <row r="163" spans="1:10" x14ac:dyDescent="0.25">
      <c r="A163" t="s">
        <v>173</v>
      </c>
      <c r="B163" s="1">
        <v>45029</v>
      </c>
      <c r="C163" t="str">
        <f>TEXT(Table1[[#This Row],[Date]],"mmm")</f>
        <v>Apr</v>
      </c>
      <c r="D163" t="str">
        <f>TEXT(Table1[[#This Row],[Date]],"yyyy")</f>
        <v>2023</v>
      </c>
      <c r="E163" t="s">
        <v>17</v>
      </c>
      <c r="F163" t="s">
        <v>8</v>
      </c>
      <c r="G163" t="s">
        <v>18</v>
      </c>
      <c r="H163">
        <v>1145.3399999999999</v>
      </c>
      <c r="I163">
        <v>8</v>
      </c>
      <c r="J163">
        <v>97.78</v>
      </c>
    </row>
    <row r="164" spans="1:10" x14ac:dyDescent="0.25">
      <c r="A164" t="s">
        <v>174</v>
      </c>
      <c r="B164" s="1">
        <v>45346</v>
      </c>
      <c r="C164" t="str">
        <f>TEXT(Table1[[#This Row],[Date]],"mmm")</f>
        <v>Feb</v>
      </c>
      <c r="D164" t="str">
        <f>TEXT(Table1[[#This Row],[Date]],"yyyy")</f>
        <v>2024</v>
      </c>
      <c r="E164" t="s">
        <v>5</v>
      </c>
      <c r="F164" t="s">
        <v>2</v>
      </c>
      <c r="G164" t="s">
        <v>11</v>
      </c>
      <c r="H164">
        <v>332.12</v>
      </c>
      <c r="I164">
        <v>3</v>
      </c>
      <c r="J164">
        <v>78.37</v>
      </c>
    </row>
    <row r="165" spans="1:10" x14ac:dyDescent="0.25">
      <c r="A165" t="s">
        <v>175</v>
      </c>
      <c r="B165" s="1">
        <v>45565</v>
      </c>
      <c r="C165" t="str">
        <f>TEXT(Table1[[#This Row],[Date]],"mmm")</f>
        <v>Sep</v>
      </c>
      <c r="D165" t="str">
        <f>TEXT(Table1[[#This Row],[Date]],"yyyy")</f>
        <v>2024</v>
      </c>
      <c r="E165" t="s">
        <v>15</v>
      </c>
      <c r="F165" t="s">
        <v>8</v>
      </c>
      <c r="G165" t="s">
        <v>18</v>
      </c>
      <c r="H165">
        <v>5313.45</v>
      </c>
      <c r="I165">
        <v>7</v>
      </c>
      <c r="J165">
        <v>526.87</v>
      </c>
    </row>
    <row r="166" spans="1:10" x14ac:dyDescent="0.25">
      <c r="A166" t="s">
        <v>176</v>
      </c>
      <c r="B166" s="1">
        <v>45251</v>
      </c>
      <c r="C166" t="str">
        <f>TEXT(Table1[[#This Row],[Date]],"mmm")</f>
        <v>Nov</v>
      </c>
      <c r="D166" t="str">
        <f>TEXT(Table1[[#This Row],[Date]],"yyyy")</f>
        <v>2023</v>
      </c>
      <c r="E166" t="s">
        <v>1</v>
      </c>
      <c r="F166" t="s">
        <v>2</v>
      </c>
      <c r="G166" t="s">
        <v>13</v>
      </c>
      <c r="H166">
        <v>6244.51</v>
      </c>
      <c r="I166">
        <v>8</v>
      </c>
      <c r="J166">
        <v>700.46</v>
      </c>
    </row>
    <row r="167" spans="1:10" x14ac:dyDescent="0.25">
      <c r="A167" t="s">
        <v>177</v>
      </c>
      <c r="B167" s="1">
        <v>45573</v>
      </c>
      <c r="C167" t="str">
        <f>TEXT(Table1[[#This Row],[Date]],"mmm")</f>
        <v>Oct</v>
      </c>
      <c r="D167" t="str">
        <f>TEXT(Table1[[#This Row],[Date]],"yyyy")</f>
        <v>2024</v>
      </c>
      <c r="E167" t="s">
        <v>5</v>
      </c>
      <c r="F167" t="s">
        <v>2</v>
      </c>
      <c r="G167" t="s">
        <v>11</v>
      </c>
      <c r="H167">
        <v>5580.77</v>
      </c>
      <c r="I167">
        <v>5</v>
      </c>
      <c r="J167">
        <v>797.99</v>
      </c>
    </row>
    <row r="168" spans="1:10" x14ac:dyDescent="0.25">
      <c r="A168" t="s">
        <v>178</v>
      </c>
      <c r="B168" s="1">
        <v>45575</v>
      </c>
      <c r="C168" t="str">
        <f>TEXT(Table1[[#This Row],[Date]],"mmm")</f>
        <v>Oct</v>
      </c>
      <c r="D168" t="str">
        <f>TEXT(Table1[[#This Row],[Date]],"yyyy")</f>
        <v>2024</v>
      </c>
      <c r="E168" t="s">
        <v>10</v>
      </c>
      <c r="F168" t="s">
        <v>2</v>
      </c>
      <c r="G168" t="s">
        <v>3</v>
      </c>
      <c r="H168">
        <v>1008.6</v>
      </c>
      <c r="I168">
        <v>2</v>
      </c>
      <c r="J168">
        <v>366.07</v>
      </c>
    </row>
    <row r="169" spans="1:10" x14ac:dyDescent="0.25">
      <c r="A169" t="s">
        <v>179</v>
      </c>
      <c r="B169" s="1">
        <v>45259</v>
      </c>
      <c r="C169" t="str">
        <f>TEXT(Table1[[#This Row],[Date]],"mmm")</f>
        <v>Nov</v>
      </c>
      <c r="D169" t="str">
        <f>TEXT(Table1[[#This Row],[Date]],"yyyy")</f>
        <v>2023</v>
      </c>
      <c r="E169" t="s">
        <v>5</v>
      </c>
      <c r="F169" t="s">
        <v>2</v>
      </c>
      <c r="G169" t="s">
        <v>3</v>
      </c>
      <c r="H169">
        <v>311.02</v>
      </c>
      <c r="I169">
        <v>1</v>
      </c>
      <c r="J169">
        <v>248.83</v>
      </c>
    </row>
    <row r="170" spans="1:10" x14ac:dyDescent="0.25">
      <c r="A170" t="s">
        <v>180</v>
      </c>
      <c r="B170" s="1">
        <v>45470</v>
      </c>
      <c r="C170" t="str">
        <f>TEXT(Table1[[#This Row],[Date]],"mmm")</f>
        <v>Jun</v>
      </c>
      <c r="D170" t="str">
        <f>TEXT(Table1[[#This Row],[Date]],"yyyy")</f>
        <v>2024</v>
      </c>
      <c r="E170" t="s">
        <v>7</v>
      </c>
      <c r="F170" t="s">
        <v>8</v>
      </c>
      <c r="G170" t="s">
        <v>11</v>
      </c>
      <c r="H170">
        <v>4576.8500000000004</v>
      </c>
      <c r="I170">
        <v>7</v>
      </c>
      <c r="J170">
        <v>461.42</v>
      </c>
    </row>
    <row r="171" spans="1:10" x14ac:dyDescent="0.25">
      <c r="A171" t="s">
        <v>181</v>
      </c>
      <c r="B171" s="1">
        <v>45007</v>
      </c>
      <c r="C171" t="str">
        <f>TEXT(Table1[[#This Row],[Date]],"mmm")</f>
        <v>Mar</v>
      </c>
      <c r="D171" t="str">
        <f>TEXT(Table1[[#This Row],[Date]],"yyyy")</f>
        <v>2023</v>
      </c>
      <c r="E171" t="s">
        <v>7</v>
      </c>
      <c r="F171" t="s">
        <v>8</v>
      </c>
      <c r="G171" t="s">
        <v>11</v>
      </c>
      <c r="H171">
        <v>9425.08</v>
      </c>
      <c r="I171">
        <v>10</v>
      </c>
      <c r="J171">
        <v>699.25</v>
      </c>
    </row>
    <row r="172" spans="1:10" x14ac:dyDescent="0.25">
      <c r="A172" t="s">
        <v>182</v>
      </c>
      <c r="B172" s="1">
        <v>45524</v>
      </c>
      <c r="C172" t="str">
        <f>TEXT(Table1[[#This Row],[Date]],"mmm")</f>
        <v>Aug</v>
      </c>
      <c r="D172" t="str">
        <f>TEXT(Table1[[#This Row],[Date]],"yyyy")</f>
        <v>2024</v>
      </c>
      <c r="E172" t="s">
        <v>7</v>
      </c>
      <c r="F172" t="s">
        <v>8</v>
      </c>
      <c r="G172" t="s">
        <v>13</v>
      </c>
      <c r="H172">
        <v>817.61</v>
      </c>
      <c r="I172">
        <v>3</v>
      </c>
      <c r="J172">
        <v>201.11</v>
      </c>
    </row>
    <row r="173" spans="1:10" x14ac:dyDescent="0.25">
      <c r="A173" t="s">
        <v>183</v>
      </c>
      <c r="B173" s="1">
        <v>45609</v>
      </c>
      <c r="C173" t="str">
        <f>TEXT(Table1[[#This Row],[Date]],"mmm")</f>
        <v>Nov</v>
      </c>
      <c r="D173" t="str">
        <f>TEXT(Table1[[#This Row],[Date]],"yyyy")</f>
        <v>2024</v>
      </c>
      <c r="E173" t="s">
        <v>10</v>
      </c>
      <c r="F173" t="s">
        <v>2</v>
      </c>
      <c r="G173" t="s">
        <v>18</v>
      </c>
      <c r="H173">
        <v>927.47</v>
      </c>
      <c r="I173">
        <v>1</v>
      </c>
      <c r="J173">
        <v>721.15</v>
      </c>
    </row>
    <row r="174" spans="1:10" x14ac:dyDescent="0.25">
      <c r="A174" t="s">
        <v>184</v>
      </c>
      <c r="B174" s="1">
        <v>45002</v>
      </c>
      <c r="C174" t="str">
        <f>TEXT(Table1[[#This Row],[Date]],"mmm")</f>
        <v>Mar</v>
      </c>
      <c r="D174" t="str">
        <f>TEXT(Table1[[#This Row],[Date]],"yyyy")</f>
        <v>2023</v>
      </c>
      <c r="E174" t="s">
        <v>15</v>
      </c>
      <c r="F174" t="s">
        <v>8</v>
      </c>
      <c r="G174" t="s">
        <v>11</v>
      </c>
      <c r="H174">
        <v>9057.44</v>
      </c>
      <c r="I174">
        <v>8</v>
      </c>
      <c r="J174">
        <v>757.28</v>
      </c>
    </row>
    <row r="175" spans="1:10" x14ac:dyDescent="0.25">
      <c r="A175" t="s">
        <v>185</v>
      </c>
      <c r="B175" s="1">
        <v>45633</v>
      </c>
      <c r="C175" t="str">
        <f>TEXT(Table1[[#This Row],[Date]],"mmm")</f>
        <v>Dec</v>
      </c>
      <c r="D175" t="str">
        <f>TEXT(Table1[[#This Row],[Date]],"yyyy")</f>
        <v>2024</v>
      </c>
      <c r="E175" t="s">
        <v>15</v>
      </c>
      <c r="F175" t="s">
        <v>8</v>
      </c>
      <c r="G175" t="s">
        <v>13</v>
      </c>
      <c r="H175">
        <v>2297.21</v>
      </c>
      <c r="I175">
        <v>5</v>
      </c>
      <c r="J175">
        <v>376.33</v>
      </c>
    </row>
    <row r="176" spans="1:10" x14ac:dyDescent="0.25">
      <c r="A176" t="s">
        <v>186</v>
      </c>
      <c r="B176" s="1">
        <v>45036</v>
      </c>
      <c r="C176" t="str">
        <f>TEXT(Table1[[#This Row],[Date]],"mmm")</f>
        <v>Apr</v>
      </c>
      <c r="D176" t="str">
        <f>TEXT(Table1[[#This Row],[Date]],"yyyy")</f>
        <v>2023</v>
      </c>
      <c r="E176" t="s">
        <v>10</v>
      </c>
      <c r="F176" t="s">
        <v>2</v>
      </c>
      <c r="G176" t="s">
        <v>13</v>
      </c>
      <c r="H176">
        <v>1579.15</v>
      </c>
      <c r="I176">
        <v>4</v>
      </c>
      <c r="J176">
        <v>317.45999999999998</v>
      </c>
    </row>
    <row r="177" spans="1:10" x14ac:dyDescent="0.25">
      <c r="A177" t="s">
        <v>187</v>
      </c>
      <c r="B177" s="1">
        <v>44949</v>
      </c>
      <c r="C177" t="str">
        <f>TEXT(Table1[[#This Row],[Date]],"mmm")</f>
        <v>Jan</v>
      </c>
      <c r="D177" t="str">
        <f>TEXT(Table1[[#This Row],[Date]],"yyyy")</f>
        <v>2023</v>
      </c>
      <c r="E177" t="s">
        <v>15</v>
      </c>
      <c r="F177" t="s">
        <v>8</v>
      </c>
      <c r="G177" t="s">
        <v>18</v>
      </c>
      <c r="H177">
        <v>2173.4299999999998</v>
      </c>
      <c r="I177">
        <v>7</v>
      </c>
      <c r="J177">
        <v>234.09</v>
      </c>
    </row>
    <row r="178" spans="1:10" x14ac:dyDescent="0.25">
      <c r="A178" t="s">
        <v>188</v>
      </c>
      <c r="B178" s="1">
        <v>45547</v>
      </c>
      <c r="C178" t="str">
        <f>TEXT(Table1[[#This Row],[Date]],"mmm")</f>
        <v>Sep</v>
      </c>
      <c r="D178" t="str">
        <f>TEXT(Table1[[#This Row],[Date]],"yyyy")</f>
        <v>2024</v>
      </c>
      <c r="E178" t="s">
        <v>1</v>
      </c>
      <c r="F178" t="s">
        <v>2</v>
      </c>
      <c r="G178" t="s">
        <v>3</v>
      </c>
      <c r="H178">
        <v>7827.33</v>
      </c>
      <c r="I178">
        <v>8</v>
      </c>
      <c r="J178">
        <v>669.61</v>
      </c>
    </row>
    <row r="179" spans="1:10" x14ac:dyDescent="0.25">
      <c r="A179" t="s">
        <v>189</v>
      </c>
      <c r="B179" s="1">
        <v>45151</v>
      </c>
      <c r="C179" t="str">
        <f>TEXT(Table1[[#This Row],[Date]],"mmm")</f>
        <v>Aug</v>
      </c>
      <c r="D179" t="str">
        <f>TEXT(Table1[[#This Row],[Date]],"yyyy")</f>
        <v>2023</v>
      </c>
      <c r="E179" t="s">
        <v>7</v>
      </c>
      <c r="F179" t="s">
        <v>8</v>
      </c>
      <c r="G179" t="s">
        <v>18</v>
      </c>
      <c r="H179">
        <v>2765.79</v>
      </c>
      <c r="I179">
        <v>4</v>
      </c>
      <c r="J179">
        <v>504.3</v>
      </c>
    </row>
    <row r="180" spans="1:10" x14ac:dyDescent="0.25">
      <c r="A180" t="s">
        <v>190</v>
      </c>
      <c r="B180" s="1">
        <v>45570</v>
      </c>
      <c r="C180" t="str">
        <f>TEXT(Table1[[#This Row],[Date]],"mmm")</f>
        <v>Oct</v>
      </c>
      <c r="D180" t="str">
        <f>TEXT(Table1[[#This Row],[Date]],"yyyy")</f>
        <v>2024</v>
      </c>
      <c r="E180" t="s">
        <v>1</v>
      </c>
      <c r="F180" t="s">
        <v>2</v>
      </c>
      <c r="G180" t="s">
        <v>11</v>
      </c>
      <c r="H180">
        <v>1968.93</v>
      </c>
      <c r="I180">
        <v>2</v>
      </c>
      <c r="J180">
        <v>724.65</v>
      </c>
    </row>
    <row r="181" spans="1:10" x14ac:dyDescent="0.25">
      <c r="A181" t="s">
        <v>191</v>
      </c>
      <c r="B181" s="1">
        <v>44961</v>
      </c>
      <c r="C181" t="str">
        <f>TEXT(Table1[[#This Row],[Date]],"mmm")</f>
        <v>Feb</v>
      </c>
      <c r="D181" t="str">
        <f>TEXT(Table1[[#This Row],[Date]],"yyyy")</f>
        <v>2023</v>
      </c>
      <c r="E181" t="s">
        <v>15</v>
      </c>
      <c r="F181" t="s">
        <v>8</v>
      </c>
      <c r="G181" t="s">
        <v>13</v>
      </c>
      <c r="H181">
        <v>3510.6</v>
      </c>
      <c r="I181">
        <v>10</v>
      </c>
      <c r="J181">
        <v>304.58999999999997</v>
      </c>
    </row>
    <row r="182" spans="1:10" x14ac:dyDescent="0.25">
      <c r="A182" t="s">
        <v>192</v>
      </c>
      <c r="B182" s="1">
        <v>45352</v>
      </c>
      <c r="C182" t="str">
        <f>TEXT(Table1[[#This Row],[Date]],"mmm")</f>
        <v>Mar</v>
      </c>
      <c r="D182" t="str">
        <f>TEXT(Table1[[#This Row],[Date]],"yyyy")</f>
        <v>2024</v>
      </c>
      <c r="E182" t="s">
        <v>15</v>
      </c>
      <c r="F182" t="s">
        <v>8</v>
      </c>
      <c r="G182" t="s">
        <v>18</v>
      </c>
      <c r="H182">
        <v>749.54</v>
      </c>
      <c r="I182">
        <v>3</v>
      </c>
      <c r="J182">
        <v>176.62</v>
      </c>
    </row>
    <row r="183" spans="1:10" x14ac:dyDescent="0.25">
      <c r="A183" t="s">
        <v>193</v>
      </c>
      <c r="B183" s="1">
        <v>45095</v>
      </c>
      <c r="C183" t="str">
        <f>TEXT(Table1[[#This Row],[Date]],"mmm")</f>
        <v>Jun</v>
      </c>
      <c r="D183" t="str">
        <f>TEXT(Table1[[#This Row],[Date]],"yyyy")</f>
        <v>2023</v>
      </c>
      <c r="E183" t="s">
        <v>15</v>
      </c>
      <c r="F183" t="s">
        <v>8</v>
      </c>
      <c r="G183" t="s">
        <v>18</v>
      </c>
      <c r="H183">
        <v>5415.38</v>
      </c>
      <c r="I183">
        <v>5</v>
      </c>
      <c r="J183">
        <v>732.96</v>
      </c>
    </row>
    <row r="184" spans="1:10" x14ac:dyDescent="0.25">
      <c r="A184" t="s">
        <v>194</v>
      </c>
      <c r="B184" s="1">
        <v>45044</v>
      </c>
      <c r="C184" t="str">
        <f>TEXT(Table1[[#This Row],[Date]],"mmm")</f>
        <v>Apr</v>
      </c>
      <c r="D184" t="str">
        <f>TEXT(Table1[[#This Row],[Date]],"yyyy")</f>
        <v>2023</v>
      </c>
      <c r="E184" t="s">
        <v>15</v>
      </c>
      <c r="F184" t="s">
        <v>8</v>
      </c>
      <c r="G184" t="s">
        <v>18</v>
      </c>
      <c r="H184">
        <v>7132.63</v>
      </c>
      <c r="I184">
        <v>8</v>
      </c>
      <c r="J184">
        <v>771.06</v>
      </c>
    </row>
    <row r="185" spans="1:10" x14ac:dyDescent="0.25">
      <c r="A185" t="s">
        <v>195</v>
      </c>
      <c r="B185" s="1">
        <v>45497</v>
      </c>
      <c r="C185" t="str">
        <f>TEXT(Table1[[#This Row],[Date]],"mmm")</f>
        <v>Jul</v>
      </c>
      <c r="D185" t="str">
        <f>TEXT(Table1[[#This Row],[Date]],"yyyy")</f>
        <v>2024</v>
      </c>
      <c r="E185" t="s">
        <v>7</v>
      </c>
      <c r="F185" t="s">
        <v>8</v>
      </c>
      <c r="G185" t="s">
        <v>13</v>
      </c>
      <c r="H185">
        <v>682.55</v>
      </c>
      <c r="I185">
        <v>6</v>
      </c>
      <c r="J185">
        <v>90.44</v>
      </c>
    </row>
    <row r="186" spans="1:10" x14ac:dyDescent="0.25">
      <c r="A186" t="s">
        <v>196</v>
      </c>
      <c r="B186" s="1">
        <v>45392</v>
      </c>
      <c r="C186" t="str">
        <f>TEXT(Table1[[#This Row],[Date]],"mmm")</f>
        <v>Apr</v>
      </c>
      <c r="D186" t="str">
        <f>TEXT(Table1[[#This Row],[Date]],"yyyy")</f>
        <v>2024</v>
      </c>
      <c r="E186" t="s">
        <v>15</v>
      </c>
      <c r="F186" t="s">
        <v>8</v>
      </c>
      <c r="G186" t="s">
        <v>3</v>
      </c>
      <c r="H186">
        <v>4474.8599999999997</v>
      </c>
      <c r="I186">
        <v>6</v>
      </c>
      <c r="J186">
        <v>544.80999999999995</v>
      </c>
    </row>
    <row r="187" spans="1:10" x14ac:dyDescent="0.25">
      <c r="A187" t="s">
        <v>197</v>
      </c>
      <c r="B187" s="1">
        <v>45580</v>
      </c>
      <c r="C187" t="str">
        <f>TEXT(Table1[[#This Row],[Date]],"mmm")</f>
        <v>Oct</v>
      </c>
      <c r="D187" t="str">
        <f>TEXT(Table1[[#This Row],[Date]],"yyyy")</f>
        <v>2024</v>
      </c>
      <c r="E187" t="s">
        <v>17</v>
      </c>
      <c r="F187" t="s">
        <v>8</v>
      </c>
      <c r="G187" t="s">
        <v>13</v>
      </c>
      <c r="H187">
        <v>748.41</v>
      </c>
      <c r="I187">
        <v>6</v>
      </c>
      <c r="J187">
        <v>104.51</v>
      </c>
    </row>
    <row r="188" spans="1:10" x14ac:dyDescent="0.25">
      <c r="A188" t="s">
        <v>198</v>
      </c>
      <c r="B188" s="1">
        <v>45551</v>
      </c>
      <c r="C188" t="str">
        <f>TEXT(Table1[[#This Row],[Date]],"mmm")</f>
        <v>Sep</v>
      </c>
      <c r="D188" t="str">
        <f>TEXT(Table1[[#This Row],[Date]],"yyyy")</f>
        <v>2024</v>
      </c>
      <c r="E188" t="s">
        <v>5</v>
      </c>
      <c r="F188" t="s">
        <v>2</v>
      </c>
      <c r="G188" t="s">
        <v>18</v>
      </c>
      <c r="H188">
        <v>2844.66</v>
      </c>
      <c r="I188">
        <v>4</v>
      </c>
      <c r="J188">
        <v>525.16999999999996</v>
      </c>
    </row>
    <row r="189" spans="1:10" x14ac:dyDescent="0.25">
      <c r="A189" t="s">
        <v>199</v>
      </c>
      <c r="B189" s="1">
        <v>45591</v>
      </c>
      <c r="C189" t="str">
        <f>TEXT(Table1[[#This Row],[Date]],"mmm")</f>
        <v>Oct</v>
      </c>
      <c r="D189" t="str">
        <f>TEXT(Table1[[#This Row],[Date]],"yyyy")</f>
        <v>2024</v>
      </c>
      <c r="E189" t="s">
        <v>10</v>
      </c>
      <c r="F189" t="s">
        <v>2</v>
      </c>
      <c r="G189" t="s">
        <v>18</v>
      </c>
      <c r="H189">
        <v>868.87</v>
      </c>
      <c r="I189">
        <v>7</v>
      </c>
      <c r="J189">
        <v>111.01</v>
      </c>
    </row>
    <row r="190" spans="1:10" x14ac:dyDescent="0.25">
      <c r="A190" t="s">
        <v>200</v>
      </c>
      <c r="B190" s="1">
        <v>45431</v>
      </c>
      <c r="C190" t="str">
        <f>TEXT(Table1[[#This Row],[Date]],"mmm")</f>
        <v>May</v>
      </c>
      <c r="D190" t="str">
        <f>TEXT(Table1[[#This Row],[Date]],"yyyy")</f>
        <v>2024</v>
      </c>
      <c r="E190" t="s">
        <v>5</v>
      </c>
      <c r="F190" t="s">
        <v>2</v>
      </c>
      <c r="G190" t="s">
        <v>18</v>
      </c>
      <c r="H190">
        <v>278.79000000000002</v>
      </c>
      <c r="I190">
        <v>2</v>
      </c>
      <c r="J190">
        <v>95.81</v>
      </c>
    </row>
    <row r="191" spans="1:10" x14ac:dyDescent="0.25">
      <c r="A191" t="s">
        <v>201</v>
      </c>
      <c r="B191" s="1">
        <v>45391</v>
      </c>
      <c r="C191" t="str">
        <f>TEXT(Table1[[#This Row],[Date]],"mmm")</f>
        <v>Apr</v>
      </c>
      <c r="D191" t="str">
        <f>TEXT(Table1[[#This Row],[Date]],"yyyy")</f>
        <v>2024</v>
      </c>
      <c r="E191" t="s">
        <v>7</v>
      </c>
      <c r="F191" t="s">
        <v>8</v>
      </c>
      <c r="G191" t="s">
        <v>13</v>
      </c>
      <c r="H191">
        <v>4552.09</v>
      </c>
      <c r="I191">
        <v>6</v>
      </c>
      <c r="J191">
        <v>542.98</v>
      </c>
    </row>
    <row r="192" spans="1:10" x14ac:dyDescent="0.25">
      <c r="A192" t="s">
        <v>202</v>
      </c>
      <c r="B192" s="1">
        <v>45528</v>
      </c>
      <c r="C192" t="str">
        <f>TEXT(Table1[[#This Row],[Date]],"mmm")</f>
        <v>Aug</v>
      </c>
      <c r="D192" t="str">
        <f>TEXT(Table1[[#This Row],[Date]],"yyyy")</f>
        <v>2024</v>
      </c>
      <c r="E192" t="s">
        <v>17</v>
      </c>
      <c r="F192" t="s">
        <v>8</v>
      </c>
      <c r="G192" t="s">
        <v>13</v>
      </c>
      <c r="H192">
        <v>2903.53</v>
      </c>
      <c r="I192">
        <v>3</v>
      </c>
      <c r="J192">
        <v>710.62</v>
      </c>
    </row>
    <row r="193" spans="1:10" x14ac:dyDescent="0.25">
      <c r="A193" t="s">
        <v>203</v>
      </c>
      <c r="B193" s="1">
        <v>45213</v>
      </c>
      <c r="C193" t="str">
        <f>TEXT(Table1[[#This Row],[Date]],"mmm")</f>
        <v>Oct</v>
      </c>
      <c r="D193" t="str">
        <f>TEXT(Table1[[#This Row],[Date]],"yyyy")</f>
        <v>2023</v>
      </c>
      <c r="E193" t="s">
        <v>10</v>
      </c>
      <c r="F193" t="s">
        <v>2</v>
      </c>
      <c r="G193" t="s">
        <v>13</v>
      </c>
      <c r="H193">
        <v>662.79</v>
      </c>
      <c r="I193">
        <v>1</v>
      </c>
      <c r="J193">
        <v>558.41999999999996</v>
      </c>
    </row>
    <row r="194" spans="1:10" x14ac:dyDescent="0.25">
      <c r="A194" t="s">
        <v>204</v>
      </c>
      <c r="B194" s="1">
        <v>45298</v>
      </c>
      <c r="C194" t="str">
        <f>TEXT(Table1[[#This Row],[Date]],"mmm")</f>
        <v>Jan</v>
      </c>
      <c r="D194" t="str">
        <f>TEXT(Table1[[#This Row],[Date]],"yyyy")</f>
        <v>2024</v>
      </c>
      <c r="E194" t="s">
        <v>10</v>
      </c>
      <c r="F194" t="s">
        <v>2</v>
      </c>
      <c r="G194" t="s">
        <v>11</v>
      </c>
      <c r="H194">
        <v>1957.99</v>
      </c>
      <c r="I194">
        <v>2</v>
      </c>
      <c r="J194">
        <v>785.12</v>
      </c>
    </row>
    <row r="195" spans="1:10" x14ac:dyDescent="0.25">
      <c r="A195" t="s">
        <v>205</v>
      </c>
      <c r="B195" s="1">
        <v>44989</v>
      </c>
      <c r="C195" t="str">
        <f>TEXT(Table1[[#This Row],[Date]],"mmm")</f>
        <v>Mar</v>
      </c>
      <c r="D195" t="str">
        <f>TEXT(Table1[[#This Row],[Date]],"yyyy")</f>
        <v>2023</v>
      </c>
      <c r="E195" t="s">
        <v>1</v>
      </c>
      <c r="F195" t="s">
        <v>2</v>
      </c>
      <c r="G195" t="s">
        <v>18</v>
      </c>
      <c r="H195">
        <v>2448.56</v>
      </c>
      <c r="I195">
        <v>7</v>
      </c>
      <c r="J195">
        <v>235.19</v>
      </c>
    </row>
    <row r="196" spans="1:10" x14ac:dyDescent="0.25">
      <c r="A196" t="s">
        <v>206</v>
      </c>
      <c r="B196" s="1">
        <v>45605</v>
      </c>
      <c r="C196" t="str">
        <f>TEXT(Table1[[#This Row],[Date]],"mmm")</f>
        <v>Nov</v>
      </c>
      <c r="D196" t="str">
        <f>TEXT(Table1[[#This Row],[Date]],"yyyy")</f>
        <v>2024</v>
      </c>
      <c r="E196" t="s">
        <v>10</v>
      </c>
      <c r="F196" t="s">
        <v>2</v>
      </c>
      <c r="G196" t="s">
        <v>3</v>
      </c>
      <c r="H196">
        <v>2787.66</v>
      </c>
      <c r="I196">
        <v>4</v>
      </c>
      <c r="J196">
        <v>520.53</v>
      </c>
    </row>
    <row r="197" spans="1:10" x14ac:dyDescent="0.25">
      <c r="A197" t="s">
        <v>207</v>
      </c>
      <c r="B197" s="1">
        <v>45268</v>
      </c>
      <c r="C197" t="str">
        <f>TEXT(Table1[[#This Row],[Date]],"mmm")</f>
        <v>Dec</v>
      </c>
      <c r="D197" t="str">
        <f>TEXT(Table1[[#This Row],[Date]],"yyyy")</f>
        <v>2023</v>
      </c>
      <c r="E197" t="s">
        <v>5</v>
      </c>
      <c r="F197" t="s">
        <v>2</v>
      </c>
      <c r="G197" t="s">
        <v>3</v>
      </c>
      <c r="H197">
        <v>4477.9799999999996</v>
      </c>
      <c r="I197">
        <v>4</v>
      </c>
      <c r="J197">
        <v>791.28</v>
      </c>
    </row>
    <row r="198" spans="1:10" x14ac:dyDescent="0.25">
      <c r="A198" t="s">
        <v>208</v>
      </c>
      <c r="B198" s="1">
        <v>45494</v>
      </c>
      <c r="C198" t="str">
        <f>TEXT(Table1[[#This Row],[Date]],"mmm")</f>
        <v>Jul</v>
      </c>
      <c r="D198" t="str">
        <f>TEXT(Table1[[#This Row],[Date]],"yyyy")</f>
        <v>2024</v>
      </c>
      <c r="E198" t="s">
        <v>7</v>
      </c>
      <c r="F198" t="s">
        <v>8</v>
      </c>
      <c r="G198" t="s">
        <v>3</v>
      </c>
      <c r="H198">
        <v>2721.49</v>
      </c>
      <c r="I198">
        <v>4</v>
      </c>
      <c r="J198">
        <v>477.38</v>
      </c>
    </row>
    <row r="199" spans="1:10" x14ac:dyDescent="0.25">
      <c r="A199" t="s">
        <v>209</v>
      </c>
      <c r="B199" s="1">
        <v>45078</v>
      </c>
      <c r="C199" t="str">
        <f>TEXT(Table1[[#This Row],[Date]],"mmm")</f>
        <v>Jun</v>
      </c>
      <c r="D199" t="str">
        <f>TEXT(Table1[[#This Row],[Date]],"yyyy")</f>
        <v>2023</v>
      </c>
      <c r="E199" t="s">
        <v>7</v>
      </c>
      <c r="F199" t="s">
        <v>8</v>
      </c>
      <c r="G199" t="s">
        <v>18</v>
      </c>
      <c r="H199">
        <v>320.57</v>
      </c>
      <c r="I199">
        <v>10</v>
      </c>
      <c r="J199">
        <v>22.21</v>
      </c>
    </row>
    <row r="200" spans="1:10" x14ac:dyDescent="0.25">
      <c r="A200" t="s">
        <v>210</v>
      </c>
      <c r="B200" s="1">
        <v>45480</v>
      </c>
      <c r="C200" t="str">
        <f>TEXT(Table1[[#This Row],[Date]],"mmm")</f>
        <v>Jul</v>
      </c>
      <c r="D200" t="str">
        <f>TEXT(Table1[[#This Row],[Date]],"yyyy")</f>
        <v>2024</v>
      </c>
      <c r="E200" t="s">
        <v>7</v>
      </c>
      <c r="F200" t="s">
        <v>8</v>
      </c>
      <c r="G200" t="s">
        <v>11</v>
      </c>
      <c r="H200">
        <v>3676.95</v>
      </c>
      <c r="I200">
        <v>5</v>
      </c>
      <c r="J200">
        <v>642.84</v>
      </c>
    </row>
    <row r="201" spans="1:10" x14ac:dyDescent="0.25">
      <c r="A201" t="s">
        <v>211</v>
      </c>
      <c r="B201" s="1">
        <v>44942</v>
      </c>
      <c r="C201" t="str">
        <f>TEXT(Table1[[#This Row],[Date]],"mmm")</f>
        <v>Jan</v>
      </c>
      <c r="D201" t="str">
        <f>TEXT(Table1[[#This Row],[Date]],"yyyy")</f>
        <v>2023</v>
      </c>
      <c r="E201" t="s">
        <v>5</v>
      </c>
      <c r="F201" t="s">
        <v>2</v>
      </c>
      <c r="G201" t="s">
        <v>11</v>
      </c>
      <c r="H201">
        <v>4562.1400000000003</v>
      </c>
      <c r="I201">
        <v>6</v>
      </c>
      <c r="J201">
        <v>636.19000000000005</v>
      </c>
    </row>
    <row r="202" spans="1:10" x14ac:dyDescent="0.25">
      <c r="A202" t="s">
        <v>212</v>
      </c>
      <c r="B202" s="1">
        <v>45105</v>
      </c>
      <c r="C202" t="str">
        <f>TEXT(Table1[[#This Row],[Date]],"mmm")</f>
        <v>Jun</v>
      </c>
      <c r="D202" t="str">
        <f>TEXT(Table1[[#This Row],[Date]],"yyyy")</f>
        <v>2023</v>
      </c>
      <c r="E202" t="s">
        <v>15</v>
      </c>
      <c r="F202" t="s">
        <v>8</v>
      </c>
      <c r="G202" t="s">
        <v>3</v>
      </c>
      <c r="H202">
        <v>425.08</v>
      </c>
      <c r="I202">
        <v>5</v>
      </c>
      <c r="J202">
        <v>60.87</v>
      </c>
    </row>
    <row r="203" spans="1:10" x14ac:dyDescent="0.25">
      <c r="A203" t="s">
        <v>213</v>
      </c>
      <c r="B203" s="1">
        <v>44992</v>
      </c>
      <c r="C203" t="str">
        <f>TEXT(Table1[[#This Row],[Date]],"mmm")</f>
        <v>Mar</v>
      </c>
      <c r="D203" t="str">
        <f>TEXT(Table1[[#This Row],[Date]],"yyyy")</f>
        <v>2023</v>
      </c>
      <c r="E203" t="s">
        <v>17</v>
      </c>
      <c r="F203" t="s">
        <v>8</v>
      </c>
      <c r="G203" t="s">
        <v>3</v>
      </c>
      <c r="H203">
        <v>3681.17</v>
      </c>
      <c r="I203">
        <v>8</v>
      </c>
      <c r="J203">
        <v>369.65</v>
      </c>
    </row>
    <row r="204" spans="1:10" x14ac:dyDescent="0.25">
      <c r="A204" t="s">
        <v>214</v>
      </c>
      <c r="B204" s="1">
        <v>45389</v>
      </c>
      <c r="C204" t="str">
        <f>TEXT(Table1[[#This Row],[Date]],"mmm")</f>
        <v>Apr</v>
      </c>
      <c r="D204" t="str">
        <f>TEXT(Table1[[#This Row],[Date]],"yyyy")</f>
        <v>2024</v>
      </c>
      <c r="E204" t="s">
        <v>17</v>
      </c>
      <c r="F204" t="s">
        <v>8</v>
      </c>
      <c r="G204" t="s">
        <v>3</v>
      </c>
      <c r="H204">
        <v>2335.77</v>
      </c>
      <c r="I204">
        <v>9</v>
      </c>
      <c r="J204">
        <v>192.81</v>
      </c>
    </row>
    <row r="205" spans="1:10" x14ac:dyDescent="0.25">
      <c r="A205" t="s">
        <v>215</v>
      </c>
      <c r="B205" s="1">
        <v>45396</v>
      </c>
      <c r="C205" t="str">
        <f>TEXT(Table1[[#This Row],[Date]],"mmm")</f>
        <v>Apr</v>
      </c>
      <c r="D205" t="str">
        <f>TEXT(Table1[[#This Row],[Date]],"yyyy")</f>
        <v>2024</v>
      </c>
      <c r="E205" t="s">
        <v>1</v>
      </c>
      <c r="F205" t="s">
        <v>2</v>
      </c>
      <c r="G205" t="s">
        <v>18</v>
      </c>
      <c r="H205">
        <v>87.11</v>
      </c>
      <c r="I205">
        <v>1</v>
      </c>
      <c r="J205">
        <v>67.44</v>
      </c>
    </row>
    <row r="206" spans="1:10" x14ac:dyDescent="0.25">
      <c r="A206" t="s">
        <v>216</v>
      </c>
      <c r="B206" s="1">
        <v>45629</v>
      </c>
      <c r="C206" t="str">
        <f>TEXT(Table1[[#This Row],[Date]],"mmm")</f>
        <v>Dec</v>
      </c>
      <c r="D206" t="str">
        <f>TEXT(Table1[[#This Row],[Date]],"yyyy")</f>
        <v>2024</v>
      </c>
      <c r="E206" t="s">
        <v>10</v>
      </c>
      <c r="F206" t="s">
        <v>2</v>
      </c>
      <c r="G206" t="s">
        <v>13</v>
      </c>
      <c r="H206">
        <v>1178.1600000000001</v>
      </c>
      <c r="I206">
        <v>2</v>
      </c>
      <c r="J206">
        <v>402.41</v>
      </c>
    </row>
    <row r="207" spans="1:10" x14ac:dyDescent="0.25">
      <c r="A207" t="s">
        <v>217</v>
      </c>
      <c r="B207" s="1">
        <v>45256</v>
      </c>
      <c r="C207" t="str">
        <f>TEXT(Table1[[#This Row],[Date]],"mmm")</f>
        <v>Nov</v>
      </c>
      <c r="D207" t="str">
        <f>TEXT(Table1[[#This Row],[Date]],"yyyy")</f>
        <v>2023</v>
      </c>
      <c r="E207" t="s">
        <v>5</v>
      </c>
      <c r="F207" t="s">
        <v>2</v>
      </c>
      <c r="G207" t="s">
        <v>3</v>
      </c>
      <c r="H207">
        <v>1561.2</v>
      </c>
      <c r="I207">
        <v>10</v>
      </c>
      <c r="J207">
        <v>135.69999999999999</v>
      </c>
    </row>
    <row r="208" spans="1:10" x14ac:dyDescent="0.25">
      <c r="A208" t="s">
        <v>218</v>
      </c>
      <c r="B208" s="1">
        <v>45317</v>
      </c>
      <c r="C208" t="str">
        <f>TEXT(Table1[[#This Row],[Date]],"mmm")</f>
        <v>Jan</v>
      </c>
      <c r="D208" t="str">
        <f>TEXT(Table1[[#This Row],[Date]],"yyyy")</f>
        <v>2024</v>
      </c>
      <c r="E208" t="s">
        <v>17</v>
      </c>
      <c r="F208" t="s">
        <v>8</v>
      </c>
      <c r="G208" t="s">
        <v>18</v>
      </c>
      <c r="H208">
        <v>5559.47</v>
      </c>
      <c r="I208">
        <v>10</v>
      </c>
      <c r="J208">
        <v>433.83</v>
      </c>
    </row>
    <row r="209" spans="1:10" x14ac:dyDescent="0.25">
      <c r="A209" t="s">
        <v>219</v>
      </c>
      <c r="B209" s="1">
        <v>45028</v>
      </c>
      <c r="C209" t="str">
        <f>TEXT(Table1[[#This Row],[Date]],"mmm")</f>
        <v>Apr</v>
      </c>
      <c r="D209" t="str">
        <f>TEXT(Table1[[#This Row],[Date]],"yyyy")</f>
        <v>2023</v>
      </c>
      <c r="E209" t="s">
        <v>17</v>
      </c>
      <c r="F209" t="s">
        <v>8</v>
      </c>
      <c r="G209" t="s">
        <v>13</v>
      </c>
      <c r="H209">
        <v>1864.19</v>
      </c>
      <c r="I209">
        <v>2</v>
      </c>
      <c r="J209">
        <v>685.18</v>
      </c>
    </row>
    <row r="210" spans="1:10" x14ac:dyDescent="0.25">
      <c r="A210" t="s">
        <v>220</v>
      </c>
      <c r="B210" s="1">
        <v>45367</v>
      </c>
      <c r="C210" t="str">
        <f>TEXT(Table1[[#This Row],[Date]],"mmm")</f>
        <v>Mar</v>
      </c>
      <c r="D210" t="str">
        <f>TEXT(Table1[[#This Row],[Date]],"yyyy")</f>
        <v>2024</v>
      </c>
      <c r="E210" t="s">
        <v>17</v>
      </c>
      <c r="F210" t="s">
        <v>8</v>
      </c>
      <c r="G210" t="s">
        <v>11</v>
      </c>
      <c r="H210">
        <v>7215.62</v>
      </c>
      <c r="I210">
        <v>8</v>
      </c>
      <c r="J210">
        <v>712.71</v>
      </c>
    </row>
    <row r="211" spans="1:10" x14ac:dyDescent="0.25">
      <c r="A211" t="s">
        <v>221</v>
      </c>
      <c r="B211" s="1">
        <v>45352</v>
      </c>
      <c r="C211" t="str">
        <f>TEXT(Table1[[#This Row],[Date]],"mmm")</f>
        <v>Mar</v>
      </c>
      <c r="D211" t="str">
        <f>TEXT(Table1[[#This Row],[Date]],"yyyy")</f>
        <v>2024</v>
      </c>
      <c r="E211" t="s">
        <v>10</v>
      </c>
      <c r="F211" t="s">
        <v>2</v>
      </c>
      <c r="G211" t="s">
        <v>13</v>
      </c>
      <c r="H211">
        <v>646.29</v>
      </c>
      <c r="I211">
        <v>2</v>
      </c>
      <c r="J211">
        <v>263.79000000000002</v>
      </c>
    </row>
    <row r="212" spans="1:10" x14ac:dyDescent="0.25">
      <c r="A212" t="s">
        <v>222</v>
      </c>
      <c r="B212" s="1">
        <v>45083</v>
      </c>
      <c r="C212" t="str">
        <f>TEXT(Table1[[#This Row],[Date]],"mmm")</f>
        <v>Jun</v>
      </c>
      <c r="D212" t="str">
        <f>TEXT(Table1[[#This Row],[Date]],"yyyy")</f>
        <v>2023</v>
      </c>
      <c r="E212" t="s">
        <v>15</v>
      </c>
      <c r="F212" t="s">
        <v>8</v>
      </c>
      <c r="G212" t="s">
        <v>18</v>
      </c>
      <c r="H212">
        <v>829.37</v>
      </c>
      <c r="I212">
        <v>8</v>
      </c>
      <c r="J212">
        <v>72.36</v>
      </c>
    </row>
    <row r="213" spans="1:10" x14ac:dyDescent="0.25">
      <c r="A213" t="s">
        <v>223</v>
      </c>
      <c r="B213" s="1">
        <v>45025</v>
      </c>
      <c r="C213" t="str">
        <f>TEXT(Table1[[#This Row],[Date]],"mmm")</f>
        <v>Apr</v>
      </c>
      <c r="D213" t="str">
        <f>TEXT(Table1[[#This Row],[Date]],"yyyy")</f>
        <v>2023</v>
      </c>
      <c r="E213" t="s">
        <v>5</v>
      </c>
      <c r="F213" t="s">
        <v>2</v>
      </c>
      <c r="G213" t="s">
        <v>13</v>
      </c>
      <c r="H213">
        <v>5183.17</v>
      </c>
      <c r="I213">
        <v>6</v>
      </c>
      <c r="J213">
        <v>653.17999999999995</v>
      </c>
    </row>
    <row r="214" spans="1:10" x14ac:dyDescent="0.25">
      <c r="A214" t="s">
        <v>224</v>
      </c>
      <c r="B214" s="1">
        <v>45613</v>
      </c>
      <c r="C214" t="str">
        <f>TEXT(Table1[[#This Row],[Date]],"mmm")</f>
        <v>Nov</v>
      </c>
      <c r="D214" t="str">
        <f>TEXT(Table1[[#This Row],[Date]],"yyyy")</f>
        <v>2024</v>
      </c>
      <c r="E214" t="s">
        <v>17</v>
      </c>
      <c r="F214" t="s">
        <v>8</v>
      </c>
      <c r="G214" t="s">
        <v>18</v>
      </c>
      <c r="H214">
        <v>986.87</v>
      </c>
      <c r="I214">
        <v>2</v>
      </c>
      <c r="J214">
        <v>340.43</v>
      </c>
    </row>
    <row r="215" spans="1:10" x14ac:dyDescent="0.25">
      <c r="A215" t="s">
        <v>225</v>
      </c>
      <c r="B215" s="1">
        <v>45221</v>
      </c>
      <c r="C215" t="str">
        <f>TEXT(Table1[[#This Row],[Date]],"mmm")</f>
        <v>Oct</v>
      </c>
      <c r="D215" t="str">
        <f>TEXT(Table1[[#This Row],[Date]],"yyyy")</f>
        <v>2023</v>
      </c>
      <c r="E215" t="s">
        <v>10</v>
      </c>
      <c r="F215" t="s">
        <v>2</v>
      </c>
      <c r="G215" t="s">
        <v>3</v>
      </c>
      <c r="H215">
        <v>3010.09</v>
      </c>
      <c r="I215">
        <v>10</v>
      </c>
      <c r="J215">
        <v>263.70999999999998</v>
      </c>
    </row>
    <row r="216" spans="1:10" x14ac:dyDescent="0.25">
      <c r="A216" t="s">
        <v>226</v>
      </c>
      <c r="B216" s="1">
        <v>45085</v>
      </c>
      <c r="C216" t="str">
        <f>TEXT(Table1[[#This Row],[Date]],"mmm")</f>
        <v>Jun</v>
      </c>
      <c r="D216" t="str">
        <f>TEXT(Table1[[#This Row],[Date]],"yyyy")</f>
        <v>2023</v>
      </c>
      <c r="E216" t="s">
        <v>17</v>
      </c>
      <c r="F216" t="s">
        <v>8</v>
      </c>
      <c r="G216" t="s">
        <v>11</v>
      </c>
      <c r="H216">
        <v>1782.71</v>
      </c>
      <c r="I216">
        <v>8</v>
      </c>
      <c r="J216">
        <v>194.91</v>
      </c>
    </row>
    <row r="217" spans="1:10" x14ac:dyDescent="0.25">
      <c r="A217" t="s">
        <v>227</v>
      </c>
      <c r="B217" s="1">
        <v>45044</v>
      </c>
      <c r="C217" t="str">
        <f>TEXT(Table1[[#This Row],[Date]],"mmm")</f>
        <v>Apr</v>
      </c>
      <c r="D217" t="str">
        <f>TEXT(Table1[[#This Row],[Date]],"yyyy")</f>
        <v>2023</v>
      </c>
      <c r="E217" t="s">
        <v>17</v>
      </c>
      <c r="F217" t="s">
        <v>8</v>
      </c>
      <c r="G217" t="s">
        <v>18</v>
      </c>
      <c r="H217">
        <v>3328.14</v>
      </c>
      <c r="I217">
        <v>5</v>
      </c>
      <c r="J217">
        <v>467.8</v>
      </c>
    </row>
    <row r="218" spans="1:10" x14ac:dyDescent="0.25">
      <c r="A218" t="s">
        <v>228</v>
      </c>
      <c r="B218" s="1">
        <v>45550</v>
      </c>
      <c r="C218" t="str">
        <f>TEXT(Table1[[#This Row],[Date]],"mmm")</f>
        <v>Sep</v>
      </c>
      <c r="D218" t="str">
        <f>TEXT(Table1[[#This Row],[Date]],"yyyy")</f>
        <v>2024</v>
      </c>
      <c r="E218" t="s">
        <v>17</v>
      </c>
      <c r="F218" t="s">
        <v>8</v>
      </c>
      <c r="G218" t="s">
        <v>3</v>
      </c>
      <c r="H218">
        <v>257.45999999999998</v>
      </c>
      <c r="I218">
        <v>5</v>
      </c>
      <c r="J218">
        <v>42.58</v>
      </c>
    </row>
    <row r="219" spans="1:10" x14ac:dyDescent="0.25">
      <c r="A219" t="s">
        <v>229</v>
      </c>
      <c r="B219" s="1">
        <v>45286</v>
      </c>
      <c r="C219" t="str">
        <f>TEXT(Table1[[#This Row],[Date]],"mmm")</f>
        <v>Dec</v>
      </c>
      <c r="D219" t="str">
        <f>TEXT(Table1[[#This Row],[Date]],"yyyy")</f>
        <v>2023</v>
      </c>
      <c r="E219" t="s">
        <v>15</v>
      </c>
      <c r="F219" t="s">
        <v>8</v>
      </c>
      <c r="G219" t="s">
        <v>18</v>
      </c>
      <c r="H219">
        <v>186.9</v>
      </c>
      <c r="I219">
        <v>1</v>
      </c>
      <c r="J219">
        <v>161.5</v>
      </c>
    </row>
    <row r="220" spans="1:10" x14ac:dyDescent="0.25">
      <c r="A220" t="s">
        <v>230</v>
      </c>
      <c r="B220" s="1">
        <v>44998</v>
      </c>
      <c r="C220" t="str">
        <f>TEXT(Table1[[#This Row],[Date]],"mmm")</f>
        <v>Mar</v>
      </c>
      <c r="D220" t="str">
        <f>TEXT(Table1[[#This Row],[Date]],"yyyy")</f>
        <v>2023</v>
      </c>
      <c r="E220" t="s">
        <v>1</v>
      </c>
      <c r="F220" t="s">
        <v>2</v>
      </c>
      <c r="G220" t="s">
        <v>13</v>
      </c>
      <c r="H220">
        <v>2670.59</v>
      </c>
      <c r="I220">
        <v>3</v>
      </c>
      <c r="J220">
        <v>597.96</v>
      </c>
    </row>
    <row r="221" spans="1:10" x14ac:dyDescent="0.25">
      <c r="A221" t="s">
        <v>231</v>
      </c>
      <c r="B221" s="1">
        <v>45312</v>
      </c>
      <c r="C221" t="str">
        <f>TEXT(Table1[[#This Row],[Date]],"mmm")</f>
        <v>Jan</v>
      </c>
      <c r="D221" t="str">
        <f>TEXT(Table1[[#This Row],[Date]],"yyyy")</f>
        <v>2024</v>
      </c>
      <c r="E221" t="s">
        <v>5</v>
      </c>
      <c r="F221" t="s">
        <v>2</v>
      </c>
      <c r="G221" t="s">
        <v>11</v>
      </c>
      <c r="H221">
        <v>3043.34</v>
      </c>
      <c r="I221">
        <v>7</v>
      </c>
      <c r="J221">
        <v>373.84</v>
      </c>
    </row>
    <row r="222" spans="1:10" x14ac:dyDescent="0.25">
      <c r="A222" t="s">
        <v>232</v>
      </c>
      <c r="B222" s="1">
        <v>45508</v>
      </c>
      <c r="C222" t="str">
        <f>TEXT(Table1[[#This Row],[Date]],"mmm")</f>
        <v>Aug</v>
      </c>
      <c r="D222" t="str">
        <f>TEXT(Table1[[#This Row],[Date]],"yyyy")</f>
        <v>2024</v>
      </c>
      <c r="E222" t="s">
        <v>15</v>
      </c>
      <c r="F222" t="s">
        <v>8</v>
      </c>
      <c r="G222" t="s">
        <v>18</v>
      </c>
      <c r="H222">
        <v>967.12</v>
      </c>
      <c r="I222">
        <v>10</v>
      </c>
      <c r="J222">
        <v>86.27</v>
      </c>
    </row>
    <row r="223" spans="1:10" x14ac:dyDescent="0.25">
      <c r="A223" t="s">
        <v>233</v>
      </c>
      <c r="B223" s="1">
        <v>45617</v>
      </c>
      <c r="C223" t="str">
        <f>TEXT(Table1[[#This Row],[Date]],"mmm")</f>
        <v>Nov</v>
      </c>
      <c r="D223" t="str">
        <f>TEXT(Table1[[#This Row],[Date]],"yyyy")</f>
        <v>2024</v>
      </c>
      <c r="E223" t="s">
        <v>7</v>
      </c>
      <c r="F223" t="s">
        <v>8</v>
      </c>
      <c r="G223" t="s">
        <v>3</v>
      </c>
      <c r="H223">
        <v>633.91</v>
      </c>
      <c r="I223">
        <v>2</v>
      </c>
      <c r="J223">
        <v>232.24</v>
      </c>
    </row>
    <row r="224" spans="1:10" x14ac:dyDescent="0.25">
      <c r="A224" t="s">
        <v>234</v>
      </c>
      <c r="B224" s="1">
        <v>45351</v>
      </c>
      <c r="C224" t="str">
        <f>TEXT(Table1[[#This Row],[Date]],"mmm")</f>
        <v>Feb</v>
      </c>
      <c r="D224" t="str">
        <f>TEXT(Table1[[#This Row],[Date]],"yyyy")</f>
        <v>2024</v>
      </c>
      <c r="E224" t="s">
        <v>10</v>
      </c>
      <c r="F224" t="s">
        <v>2</v>
      </c>
      <c r="G224" t="s">
        <v>13</v>
      </c>
      <c r="H224">
        <v>1227.56</v>
      </c>
      <c r="I224">
        <v>5</v>
      </c>
      <c r="J224">
        <v>188.14</v>
      </c>
    </row>
    <row r="225" spans="1:10" x14ac:dyDescent="0.25">
      <c r="A225" t="s">
        <v>235</v>
      </c>
      <c r="B225" s="1">
        <v>45040</v>
      </c>
      <c r="C225" t="str">
        <f>TEXT(Table1[[#This Row],[Date]],"mmm")</f>
        <v>Apr</v>
      </c>
      <c r="D225" t="str">
        <f>TEXT(Table1[[#This Row],[Date]],"yyyy")</f>
        <v>2023</v>
      </c>
      <c r="E225" t="s">
        <v>15</v>
      </c>
      <c r="F225" t="s">
        <v>8</v>
      </c>
      <c r="G225" t="s">
        <v>13</v>
      </c>
      <c r="H225">
        <v>3670.83</v>
      </c>
      <c r="I225">
        <v>5</v>
      </c>
      <c r="J225">
        <v>549.01</v>
      </c>
    </row>
    <row r="226" spans="1:10" x14ac:dyDescent="0.25">
      <c r="A226" t="s">
        <v>236</v>
      </c>
      <c r="B226" s="1">
        <v>44973</v>
      </c>
      <c r="C226" t="str">
        <f>TEXT(Table1[[#This Row],[Date]],"mmm")</f>
        <v>Feb</v>
      </c>
      <c r="D226" t="str">
        <f>TEXT(Table1[[#This Row],[Date]],"yyyy")</f>
        <v>2023</v>
      </c>
      <c r="E226" t="s">
        <v>17</v>
      </c>
      <c r="F226" t="s">
        <v>8</v>
      </c>
      <c r="G226" t="s">
        <v>18</v>
      </c>
      <c r="H226">
        <v>1759.39</v>
      </c>
      <c r="I226">
        <v>4</v>
      </c>
      <c r="J226">
        <v>328.31</v>
      </c>
    </row>
    <row r="227" spans="1:10" x14ac:dyDescent="0.25">
      <c r="A227" t="s">
        <v>237</v>
      </c>
      <c r="B227" s="1">
        <v>45235</v>
      </c>
      <c r="C227" t="str">
        <f>TEXT(Table1[[#This Row],[Date]],"mmm")</f>
        <v>Nov</v>
      </c>
      <c r="D227" t="str">
        <f>TEXT(Table1[[#This Row],[Date]],"yyyy")</f>
        <v>2023</v>
      </c>
      <c r="E227" t="s">
        <v>5</v>
      </c>
      <c r="F227" t="s">
        <v>2</v>
      </c>
      <c r="G227" t="s">
        <v>11</v>
      </c>
      <c r="H227">
        <v>3477.78</v>
      </c>
      <c r="I227">
        <v>4</v>
      </c>
      <c r="J227">
        <v>618.53</v>
      </c>
    </row>
    <row r="228" spans="1:10" x14ac:dyDescent="0.25">
      <c r="A228" t="s">
        <v>238</v>
      </c>
      <c r="B228" s="1">
        <v>45049</v>
      </c>
      <c r="C228" t="str">
        <f>TEXT(Table1[[#This Row],[Date]],"mmm")</f>
        <v>May</v>
      </c>
      <c r="D228" t="str">
        <f>TEXT(Table1[[#This Row],[Date]],"yyyy")</f>
        <v>2023</v>
      </c>
      <c r="E228" t="s">
        <v>15</v>
      </c>
      <c r="F228" t="s">
        <v>8</v>
      </c>
      <c r="G228" t="s">
        <v>18</v>
      </c>
      <c r="H228">
        <v>519.03</v>
      </c>
      <c r="I228">
        <v>1</v>
      </c>
      <c r="J228">
        <v>407.96</v>
      </c>
    </row>
    <row r="229" spans="1:10" x14ac:dyDescent="0.25">
      <c r="A229" t="s">
        <v>239</v>
      </c>
      <c r="B229" s="1">
        <v>45472</v>
      </c>
      <c r="C229" t="str">
        <f>TEXT(Table1[[#This Row],[Date]],"mmm")</f>
        <v>Jun</v>
      </c>
      <c r="D229" t="str">
        <f>TEXT(Table1[[#This Row],[Date]],"yyyy")</f>
        <v>2024</v>
      </c>
      <c r="E229" t="s">
        <v>7</v>
      </c>
      <c r="F229" t="s">
        <v>8</v>
      </c>
      <c r="G229" t="s">
        <v>13</v>
      </c>
      <c r="H229">
        <v>2351.83</v>
      </c>
      <c r="I229">
        <v>4</v>
      </c>
      <c r="J229">
        <v>410.2</v>
      </c>
    </row>
    <row r="230" spans="1:10" x14ac:dyDescent="0.25">
      <c r="A230" t="s">
        <v>240</v>
      </c>
      <c r="B230" s="1">
        <v>45333</v>
      </c>
      <c r="C230" t="str">
        <f>TEXT(Table1[[#This Row],[Date]],"mmm")</f>
        <v>Feb</v>
      </c>
      <c r="D230" t="str">
        <f>TEXT(Table1[[#This Row],[Date]],"yyyy")</f>
        <v>2024</v>
      </c>
      <c r="E230" t="s">
        <v>15</v>
      </c>
      <c r="F230" t="s">
        <v>8</v>
      </c>
      <c r="G230" t="s">
        <v>3</v>
      </c>
      <c r="H230">
        <v>462.53</v>
      </c>
      <c r="I230">
        <v>1</v>
      </c>
      <c r="J230">
        <v>360.25</v>
      </c>
    </row>
    <row r="231" spans="1:10" x14ac:dyDescent="0.25">
      <c r="A231" t="s">
        <v>241</v>
      </c>
      <c r="B231" s="1">
        <v>45516</v>
      </c>
      <c r="C231" t="str">
        <f>TEXT(Table1[[#This Row],[Date]],"mmm")</f>
        <v>Aug</v>
      </c>
      <c r="D231" t="str">
        <f>TEXT(Table1[[#This Row],[Date]],"yyyy")</f>
        <v>2024</v>
      </c>
      <c r="E231" t="s">
        <v>5</v>
      </c>
      <c r="F231" t="s">
        <v>2</v>
      </c>
      <c r="G231" t="s">
        <v>18</v>
      </c>
      <c r="H231">
        <v>4526.0600000000004</v>
      </c>
      <c r="I231">
        <v>7</v>
      </c>
      <c r="J231">
        <v>467.25</v>
      </c>
    </row>
    <row r="232" spans="1:10" x14ac:dyDescent="0.25">
      <c r="A232" t="s">
        <v>242</v>
      </c>
      <c r="B232" s="1">
        <v>45044</v>
      </c>
      <c r="C232" t="str">
        <f>TEXT(Table1[[#This Row],[Date]],"mmm")</f>
        <v>Apr</v>
      </c>
      <c r="D232" t="str">
        <f>TEXT(Table1[[#This Row],[Date]],"yyyy")</f>
        <v>2023</v>
      </c>
      <c r="E232" t="s">
        <v>10</v>
      </c>
      <c r="F232" t="s">
        <v>2</v>
      </c>
      <c r="G232" t="s">
        <v>18</v>
      </c>
      <c r="H232">
        <v>312.26</v>
      </c>
      <c r="I232">
        <v>7</v>
      </c>
      <c r="J232">
        <v>36.270000000000003</v>
      </c>
    </row>
    <row r="233" spans="1:10" x14ac:dyDescent="0.25">
      <c r="A233" t="s">
        <v>243</v>
      </c>
      <c r="B233" s="1">
        <v>45633</v>
      </c>
      <c r="C233" t="str">
        <f>TEXT(Table1[[#This Row],[Date]],"mmm")</f>
        <v>Dec</v>
      </c>
      <c r="D233" t="str">
        <f>TEXT(Table1[[#This Row],[Date]],"yyyy")</f>
        <v>2024</v>
      </c>
      <c r="E233" t="s">
        <v>17</v>
      </c>
      <c r="F233" t="s">
        <v>8</v>
      </c>
      <c r="G233" t="s">
        <v>13</v>
      </c>
      <c r="H233">
        <v>765.54</v>
      </c>
      <c r="I233">
        <v>6</v>
      </c>
      <c r="J233">
        <v>88.74</v>
      </c>
    </row>
    <row r="234" spans="1:10" x14ac:dyDescent="0.25">
      <c r="A234" t="s">
        <v>244</v>
      </c>
      <c r="B234" s="1">
        <v>45530</v>
      </c>
      <c r="C234" t="str">
        <f>TEXT(Table1[[#This Row],[Date]],"mmm")</f>
        <v>Aug</v>
      </c>
      <c r="D234" t="str">
        <f>TEXT(Table1[[#This Row],[Date]],"yyyy")</f>
        <v>2024</v>
      </c>
      <c r="E234" t="s">
        <v>7</v>
      </c>
      <c r="F234" t="s">
        <v>8</v>
      </c>
      <c r="G234" t="s">
        <v>13</v>
      </c>
      <c r="H234">
        <v>3775.96</v>
      </c>
      <c r="I234">
        <v>7</v>
      </c>
      <c r="J234">
        <v>428.69</v>
      </c>
    </row>
    <row r="235" spans="1:10" x14ac:dyDescent="0.25">
      <c r="A235" t="s">
        <v>245</v>
      </c>
      <c r="B235" s="1">
        <v>45153</v>
      </c>
      <c r="C235" t="str">
        <f>TEXT(Table1[[#This Row],[Date]],"mmm")</f>
        <v>Aug</v>
      </c>
      <c r="D235" t="str">
        <f>TEXT(Table1[[#This Row],[Date]],"yyyy")</f>
        <v>2023</v>
      </c>
      <c r="E235" t="s">
        <v>15</v>
      </c>
      <c r="F235" t="s">
        <v>8</v>
      </c>
      <c r="G235" t="s">
        <v>18</v>
      </c>
      <c r="H235">
        <v>4257.95</v>
      </c>
      <c r="I235">
        <v>6</v>
      </c>
      <c r="J235">
        <v>627.71</v>
      </c>
    </row>
    <row r="236" spans="1:10" x14ac:dyDescent="0.25">
      <c r="A236" t="s">
        <v>246</v>
      </c>
      <c r="B236" s="1">
        <v>45470</v>
      </c>
      <c r="C236" t="str">
        <f>TEXT(Table1[[#This Row],[Date]],"mmm")</f>
        <v>Jun</v>
      </c>
      <c r="D236" t="str">
        <f>TEXT(Table1[[#This Row],[Date]],"yyyy")</f>
        <v>2024</v>
      </c>
      <c r="E236" t="s">
        <v>1</v>
      </c>
      <c r="F236" t="s">
        <v>2</v>
      </c>
      <c r="G236" t="s">
        <v>3</v>
      </c>
      <c r="H236">
        <v>2173.79</v>
      </c>
      <c r="I236">
        <v>9</v>
      </c>
      <c r="J236">
        <v>171.24</v>
      </c>
    </row>
    <row r="237" spans="1:10" x14ac:dyDescent="0.25">
      <c r="A237" t="s">
        <v>247</v>
      </c>
      <c r="B237" s="1">
        <v>45168</v>
      </c>
      <c r="C237" t="str">
        <f>TEXT(Table1[[#This Row],[Date]],"mmm")</f>
        <v>Aug</v>
      </c>
      <c r="D237" t="str">
        <f>TEXT(Table1[[#This Row],[Date]],"yyyy")</f>
        <v>2023</v>
      </c>
      <c r="E237" t="s">
        <v>15</v>
      </c>
      <c r="F237" t="s">
        <v>8</v>
      </c>
      <c r="G237" t="s">
        <v>11</v>
      </c>
      <c r="H237">
        <v>316.49</v>
      </c>
      <c r="I237">
        <v>2</v>
      </c>
      <c r="J237">
        <v>134.22999999999999</v>
      </c>
    </row>
    <row r="238" spans="1:10" x14ac:dyDescent="0.25">
      <c r="A238" t="s">
        <v>248</v>
      </c>
      <c r="B238" s="1">
        <v>45598</v>
      </c>
      <c r="C238" t="str">
        <f>TEXT(Table1[[#This Row],[Date]],"mmm")</f>
        <v>Nov</v>
      </c>
      <c r="D238" t="str">
        <f>TEXT(Table1[[#This Row],[Date]],"yyyy")</f>
        <v>2024</v>
      </c>
      <c r="E238" t="s">
        <v>17</v>
      </c>
      <c r="F238" t="s">
        <v>8</v>
      </c>
      <c r="G238" t="s">
        <v>11</v>
      </c>
      <c r="H238">
        <v>445.77</v>
      </c>
      <c r="I238">
        <v>2</v>
      </c>
      <c r="J238">
        <v>158.16999999999999</v>
      </c>
    </row>
    <row r="239" spans="1:10" x14ac:dyDescent="0.25">
      <c r="A239" t="s">
        <v>249</v>
      </c>
      <c r="B239" s="1">
        <v>45504</v>
      </c>
      <c r="C239" t="str">
        <f>TEXT(Table1[[#This Row],[Date]],"mmm")</f>
        <v>Jul</v>
      </c>
      <c r="D239" t="str">
        <f>TEXT(Table1[[#This Row],[Date]],"yyyy")</f>
        <v>2024</v>
      </c>
      <c r="E239" t="s">
        <v>10</v>
      </c>
      <c r="F239" t="s">
        <v>2</v>
      </c>
      <c r="G239" t="s">
        <v>13</v>
      </c>
      <c r="H239">
        <v>5439.95</v>
      </c>
      <c r="I239">
        <v>10</v>
      </c>
      <c r="J239">
        <v>370.15</v>
      </c>
    </row>
    <row r="240" spans="1:10" x14ac:dyDescent="0.25">
      <c r="A240" t="s">
        <v>250</v>
      </c>
      <c r="B240" s="1">
        <v>45569</v>
      </c>
      <c r="C240" t="str">
        <f>TEXT(Table1[[#This Row],[Date]],"mmm")</f>
        <v>Oct</v>
      </c>
      <c r="D240" t="str">
        <f>TEXT(Table1[[#This Row],[Date]],"yyyy")</f>
        <v>2024</v>
      </c>
      <c r="E240" t="s">
        <v>17</v>
      </c>
      <c r="F240" t="s">
        <v>8</v>
      </c>
      <c r="G240" t="s">
        <v>18</v>
      </c>
      <c r="H240">
        <v>931.73</v>
      </c>
      <c r="I240">
        <v>6</v>
      </c>
      <c r="J240">
        <v>137.75</v>
      </c>
    </row>
    <row r="241" spans="1:10" x14ac:dyDescent="0.25">
      <c r="A241" t="s">
        <v>251</v>
      </c>
      <c r="B241" s="1">
        <v>45208</v>
      </c>
      <c r="C241" t="str">
        <f>TEXT(Table1[[#This Row],[Date]],"mmm")</f>
        <v>Oct</v>
      </c>
      <c r="D241" t="str">
        <f>TEXT(Table1[[#This Row],[Date]],"yyyy")</f>
        <v>2023</v>
      </c>
      <c r="E241" t="s">
        <v>10</v>
      </c>
      <c r="F241" t="s">
        <v>2</v>
      </c>
      <c r="G241" t="s">
        <v>18</v>
      </c>
      <c r="H241">
        <v>831.4</v>
      </c>
      <c r="I241">
        <v>10</v>
      </c>
      <c r="J241">
        <v>63.81</v>
      </c>
    </row>
    <row r="242" spans="1:10" x14ac:dyDescent="0.25">
      <c r="A242" t="s">
        <v>252</v>
      </c>
      <c r="B242" s="1">
        <v>45389</v>
      </c>
      <c r="C242" t="str">
        <f>TEXT(Table1[[#This Row],[Date]],"mmm")</f>
        <v>Apr</v>
      </c>
      <c r="D242" t="str">
        <f>TEXT(Table1[[#This Row],[Date]],"yyyy")</f>
        <v>2024</v>
      </c>
      <c r="E242" t="s">
        <v>15</v>
      </c>
      <c r="F242" t="s">
        <v>8</v>
      </c>
      <c r="G242" t="s">
        <v>13</v>
      </c>
      <c r="H242">
        <v>92.22</v>
      </c>
      <c r="I242">
        <v>1</v>
      </c>
      <c r="J242">
        <v>64.37</v>
      </c>
    </row>
    <row r="243" spans="1:10" x14ac:dyDescent="0.25">
      <c r="A243" t="s">
        <v>253</v>
      </c>
      <c r="B243" s="1">
        <v>45556</v>
      </c>
      <c r="C243" t="str">
        <f>TEXT(Table1[[#This Row],[Date]],"mmm")</f>
        <v>Sep</v>
      </c>
      <c r="D243" t="str">
        <f>TEXT(Table1[[#This Row],[Date]],"yyyy")</f>
        <v>2024</v>
      </c>
      <c r="E243" t="s">
        <v>5</v>
      </c>
      <c r="F243" t="s">
        <v>2</v>
      </c>
      <c r="G243" t="s">
        <v>3</v>
      </c>
      <c r="H243">
        <v>5339.66</v>
      </c>
      <c r="I243">
        <v>10</v>
      </c>
      <c r="J243">
        <v>415.51</v>
      </c>
    </row>
    <row r="244" spans="1:10" x14ac:dyDescent="0.25">
      <c r="A244" t="s">
        <v>254</v>
      </c>
      <c r="B244" s="1">
        <v>45387</v>
      </c>
      <c r="C244" t="str">
        <f>TEXT(Table1[[#This Row],[Date]],"mmm")</f>
        <v>Apr</v>
      </c>
      <c r="D244" t="str">
        <f>TEXT(Table1[[#This Row],[Date]],"yyyy")</f>
        <v>2024</v>
      </c>
      <c r="E244" t="s">
        <v>17</v>
      </c>
      <c r="F244" t="s">
        <v>8</v>
      </c>
      <c r="G244" t="s">
        <v>3</v>
      </c>
      <c r="H244">
        <v>6492.35</v>
      </c>
      <c r="I244">
        <v>10</v>
      </c>
      <c r="J244">
        <v>528.42999999999995</v>
      </c>
    </row>
    <row r="245" spans="1:10" x14ac:dyDescent="0.25">
      <c r="A245" t="s">
        <v>255</v>
      </c>
      <c r="B245" s="1">
        <v>44990</v>
      </c>
      <c r="C245" t="str">
        <f>TEXT(Table1[[#This Row],[Date]],"mmm")</f>
        <v>Mar</v>
      </c>
      <c r="D245" t="str">
        <f>TEXT(Table1[[#This Row],[Date]],"yyyy")</f>
        <v>2023</v>
      </c>
      <c r="E245" t="s">
        <v>10</v>
      </c>
      <c r="F245" t="s">
        <v>2</v>
      </c>
      <c r="G245" t="s">
        <v>11</v>
      </c>
      <c r="H245">
        <v>1176.24</v>
      </c>
      <c r="I245">
        <v>8</v>
      </c>
      <c r="J245">
        <v>100.73</v>
      </c>
    </row>
    <row r="246" spans="1:10" x14ac:dyDescent="0.25">
      <c r="A246" t="s">
        <v>256</v>
      </c>
      <c r="B246" s="1">
        <v>45443</v>
      </c>
      <c r="C246" t="str">
        <f>TEXT(Table1[[#This Row],[Date]],"mmm")</f>
        <v>May</v>
      </c>
      <c r="D246" t="str">
        <f>TEXT(Table1[[#This Row],[Date]],"yyyy")</f>
        <v>2024</v>
      </c>
      <c r="E246" t="s">
        <v>15</v>
      </c>
      <c r="F246" t="s">
        <v>8</v>
      </c>
      <c r="G246" t="s">
        <v>3</v>
      </c>
      <c r="H246">
        <v>209.66</v>
      </c>
      <c r="I246">
        <v>3</v>
      </c>
      <c r="J246">
        <v>50.53</v>
      </c>
    </row>
    <row r="247" spans="1:10" x14ac:dyDescent="0.25">
      <c r="A247" t="s">
        <v>257</v>
      </c>
      <c r="B247" s="1">
        <v>45299</v>
      </c>
      <c r="C247" t="str">
        <f>TEXT(Table1[[#This Row],[Date]],"mmm")</f>
        <v>Jan</v>
      </c>
      <c r="D247" t="str">
        <f>TEXT(Table1[[#This Row],[Date]],"yyyy")</f>
        <v>2024</v>
      </c>
      <c r="E247" t="s">
        <v>10</v>
      </c>
      <c r="F247" t="s">
        <v>2</v>
      </c>
      <c r="G247" t="s">
        <v>11</v>
      </c>
      <c r="H247">
        <v>5541.86</v>
      </c>
      <c r="I247">
        <v>6</v>
      </c>
      <c r="J247">
        <v>735.99</v>
      </c>
    </row>
    <row r="248" spans="1:10" x14ac:dyDescent="0.25">
      <c r="A248" t="s">
        <v>258</v>
      </c>
      <c r="B248" s="1">
        <v>45573</v>
      </c>
      <c r="C248" t="str">
        <f>TEXT(Table1[[#This Row],[Date]],"mmm")</f>
        <v>Oct</v>
      </c>
      <c r="D248" t="str">
        <f>TEXT(Table1[[#This Row],[Date]],"yyyy")</f>
        <v>2024</v>
      </c>
      <c r="E248" t="s">
        <v>15</v>
      </c>
      <c r="F248" t="s">
        <v>8</v>
      </c>
      <c r="G248" t="s">
        <v>3</v>
      </c>
      <c r="H248">
        <v>487.5</v>
      </c>
      <c r="I248">
        <v>6</v>
      </c>
      <c r="J248">
        <v>71.41</v>
      </c>
    </row>
    <row r="249" spans="1:10" x14ac:dyDescent="0.25">
      <c r="A249" t="s">
        <v>259</v>
      </c>
      <c r="B249" s="1">
        <v>45217</v>
      </c>
      <c r="C249" t="str">
        <f>TEXT(Table1[[#This Row],[Date]],"mmm")</f>
        <v>Oct</v>
      </c>
      <c r="D249" t="str">
        <f>TEXT(Table1[[#This Row],[Date]],"yyyy")</f>
        <v>2023</v>
      </c>
      <c r="E249" t="s">
        <v>1</v>
      </c>
      <c r="F249" t="s">
        <v>2</v>
      </c>
      <c r="G249" t="s">
        <v>13</v>
      </c>
      <c r="H249">
        <v>3982.34</v>
      </c>
      <c r="I249">
        <v>5</v>
      </c>
      <c r="J249">
        <v>584.51</v>
      </c>
    </row>
    <row r="250" spans="1:10" x14ac:dyDescent="0.25">
      <c r="A250" t="s">
        <v>260</v>
      </c>
      <c r="B250" s="1">
        <v>45268</v>
      </c>
      <c r="C250" t="str">
        <f>TEXT(Table1[[#This Row],[Date]],"mmm")</f>
        <v>Dec</v>
      </c>
      <c r="D250" t="str">
        <f>TEXT(Table1[[#This Row],[Date]],"yyyy")</f>
        <v>2023</v>
      </c>
      <c r="E250" t="s">
        <v>17</v>
      </c>
      <c r="F250" t="s">
        <v>8</v>
      </c>
      <c r="G250" t="s">
        <v>11</v>
      </c>
      <c r="H250">
        <v>1097.68</v>
      </c>
      <c r="I250">
        <v>2</v>
      </c>
      <c r="J250">
        <v>474.54</v>
      </c>
    </row>
    <row r="251" spans="1:10" x14ac:dyDescent="0.25">
      <c r="A251" t="s">
        <v>261</v>
      </c>
      <c r="B251" s="1">
        <v>45598</v>
      </c>
      <c r="C251" t="str">
        <f>TEXT(Table1[[#This Row],[Date]],"mmm")</f>
        <v>Nov</v>
      </c>
      <c r="D251" t="str">
        <f>TEXT(Table1[[#This Row],[Date]],"yyyy")</f>
        <v>2024</v>
      </c>
      <c r="E251" t="s">
        <v>15</v>
      </c>
      <c r="F251" t="s">
        <v>8</v>
      </c>
      <c r="G251" t="s">
        <v>18</v>
      </c>
      <c r="H251">
        <v>1167.79</v>
      </c>
      <c r="I251">
        <v>7</v>
      </c>
      <c r="J251">
        <v>120.58</v>
      </c>
    </row>
    <row r="252" spans="1:10" x14ac:dyDescent="0.25">
      <c r="A252" t="s">
        <v>262</v>
      </c>
      <c r="B252" s="1">
        <v>45499</v>
      </c>
      <c r="C252" t="str">
        <f>TEXT(Table1[[#This Row],[Date]],"mmm")</f>
        <v>Jul</v>
      </c>
      <c r="D252" t="str">
        <f>TEXT(Table1[[#This Row],[Date]],"yyyy")</f>
        <v>2024</v>
      </c>
      <c r="E252" t="s">
        <v>5</v>
      </c>
      <c r="F252" t="s">
        <v>2</v>
      </c>
      <c r="G252" t="s">
        <v>18</v>
      </c>
      <c r="H252">
        <v>4498.8100000000004</v>
      </c>
      <c r="I252">
        <v>7</v>
      </c>
      <c r="J252">
        <v>521.91999999999996</v>
      </c>
    </row>
    <row r="253" spans="1:10" x14ac:dyDescent="0.25">
      <c r="A253" t="s">
        <v>263</v>
      </c>
      <c r="B253" s="1">
        <v>45588</v>
      </c>
      <c r="C253" t="str">
        <f>TEXT(Table1[[#This Row],[Date]],"mmm")</f>
        <v>Oct</v>
      </c>
      <c r="D253" t="str">
        <f>TEXT(Table1[[#This Row],[Date]],"yyyy")</f>
        <v>2024</v>
      </c>
      <c r="E253" t="s">
        <v>7</v>
      </c>
      <c r="F253" t="s">
        <v>8</v>
      </c>
      <c r="G253" t="s">
        <v>3</v>
      </c>
      <c r="H253">
        <v>3229.24</v>
      </c>
      <c r="I253">
        <v>7</v>
      </c>
      <c r="J253">
        <v>416.62</v>
      </c>
    </row>
    <row r="254" spans="1:10" x14ac:dyDescent="0.25">
      <c r="A254" t="s">
        <v>264</v>
      </c>
      <c r="B254" s="1">
        <v>45146</v>
      </c>
      <c r="C254" t="str">
        <f>TEXT(Table1[[#This Row],[Date]],"mmm")</f>
        <v>Aug</v>
      </c>
      <c r="D254" t="str">
        <f>TEXT(Table1[[#This Row],[Date]],"yyyy")</f>
        <v>2023</v>
      </c>
      <c r="E254" t="s">
        <v>15</v>
      </c>
      <c r="F254" t="s">
        <v>8</v>
      </c>
      <c r="G254" t="s">
        <v>11</v>
      </c>
      <c r="H254">
        <v>5896.59</v>
      </c>
      <c r="I254">
        <v>6</v>
      </c>
      <c r="J254">
        <v>759.18</v>
      </c>
    </row>
    <row r="255" spans="1:10" x14ac:dyDescent="0.25">
      <c r="A255" t="s">
        <v>265</v>
      </c>
      <c r="B255" s="1">
        <v>45085</v>
      </c>
      <c r="C255" t="str">
        <f>TEXT(Table1[[#This Row],[Date]],"mmm")</f>
        <v>Jun</v>
      </c>
      <c r="D255" t="str">
        <f>TEXT(Table1[[#This Row],[Date]],"yyyy")</f>
        <v>2023</v>
      </c>
      <c r="E255" t="s">
        <v>7</v>
      </c>
      <c r="F255" t="s">
        <v>8</v>
      </c>
      <c r="G255" t="s">
        <v>11</v>
      </c>
      <c r="H255">
        <v>709.66</v>
      </c>
      <c r="I255">
        <v>2</v>
      </c>
      <c r="J255">
        <v>250.72</v>
      </c>
    </row>
    <row r="256" spans="1:10" x14ac:dyDescent="0.25">
      <c r="A256" t="s">
        <v>266</v>
      </c>
      <c r="B256" s="1">
        <v>45604</v>
      </c>
      <c r="C256" t="str">
        <f>TEXT(Table1[[#This Row],[Date]],"mmm")</f>
        <v>Nov</v>
      </c>
      <c r="D256" t="str">
        <f>TEXT(Table1[[#This Row],[Date]],"yyyy")</f>
        <v>2024</v>
      </c>
      <c r="E256" t="s">
        <v>17</v>
      </c>
      <c r="F256" t="s">
        <v>8</v>
      </c>
      <c r="G256" t="s">
        <v>3</v>
      </c>
      <c r="H256">
        <v>5687.31</v>
      </c>
      <c r="I256">
        <v>6</v>
      </c>
      <c r="J256">
        <v>703.59</v>
      </c>
    </row>
    <row r="257" spans="1:10" x14ac:dyDescent="0.25">
      <c r="A257" t="s">
        <v>267</v>
      </c>
      <c r="B257" s="1">
        <v>45084</v>
      </c>
      <c r="C257" t="str">
        <f>TEXT(Table1[[#This Row],[Date]],"mmm")</f>
        <v>Jun</v>
      </c>
      <c r="D257" t="str">
        <f>TEXT(Table1[[#This Row],[Date]],"yyyy")</f>
        <v>2023</v>
      </c>
      <c r="E257" t="s">
        <v>17</v>
      </c>
      <c r="F257" t="s">
        <v>8</v>
      </c>
      <c r="G257" t="s">
        <v>13</v>
      </c>
      <c r="H257">
        <v>665.41</v>
      </c>
      <c r="I257">
        <v>3</v>
      </c>
      <c r="J257">
        <v>161.06</v>
      </c>
    </row>
    <row r="258" spans="1:10" x14ac:dyDescent="0.25">
      <c r="A258" t="s">
        <v>268</v>
      </c>
      <c r="B258" s="1">
        <v>45375</v>
      </c>
      <c r="C258" t="str">
        <f>TEXT(Table1[[#This Row],[Date]],"mmm")</f>
        <v>Mar</v>
      </c>
      <c r="D258" t="str">
        <f>TEXT(Table1[[#This Row],[Date]],"yyyy")</f>
        <v>2024</v>
      </c>
      <c r="E258" t="s">
        <v>17</v>
      </c>
      <c r="F258" t="s">
        <v>8</v>
      </c>
      <c r="G258" t="s">
        <v>11</v>
      </c>
      <c r="H258">
        <v>466.63</v>
      </c>
      <c r="I258">
        <v>1</v>
      </c>
      <c r="J258">
        <v>340.47</v>
      </c>
    </row>
    <row r="259" spans="1:10" x14ac:dyDescent="0.25">
      <c r="A259" t="s">
        <v>269</v>
      </c>
      <c r="B259" s="1">
        <v>45552</v>
      </c>
      <c r="C259" t="str">
        <f>TEXT(Table1[[#This Row],[Date]],"mmm")</f>
        <v>Sep</v>
      </c>
      <c r="D259" t="str">
        <f>TEXT(Table1[[#This Row],[Date]],"yyyy")</f>
        <v>2024</v>
      </c>
      <c r="E259" t="s">
        <v>7</v>
      </c>
      <c r="F259" t="s">
        <v>8</v>
      </c>
      <c r="G259" t="s">
        <v>13</v>
      </c>
      <c r="H259">
        <v>4289.1099999999997</v>
      </c>
      <c r="I259">
        <v>5</v>
      </c>
      <c r="J259">
        <v>606.87</v>
      </c>
    </row>
    <row r="260" spans="1:10" x14ac:dyDescent="0.25">
      <c r="A260" t="s">
        <v>270</v>
      </c>
      <c r="B260" s="1">
        <v>45243</v>
      </c>
      <c r="C260" t="str">
        <f>TEXT(Table1[[#This Row],[Date]],"mmm")</f>
        <v>Nov</v>
      </c>
      <c r="D260" t="str">
        <f>TEXT(Table1[[#This Row],[Date]],"yyyy")</f>
        <v>2023</v>
      </c>
      <c r="E260" t="s">
        <v>7</v>
      </c>
      <c r="F260" t="s">
        <v>8</v>
      </c>
      <c r="G260" t="s">
        <v>11</v>
      </c>
      <c r="H260">
        <v>6831.06</v>
      </c>
      <c r="I260">
        <v>8</v>
      </c>
      <c r="J260">
        <v>725.1</v>
      </c>
    </row>
    <row r="261" spans="1:10" x14ac:dyDescent="0.25">
      <c r="A261" t="s">
        <v>271</v>
      </c>
      <c r="B261" s="1">
        <v>45399</v>
      </c>
      <c r="C261" t="str">
        <f>TEXT(Table1[[#This Row],[Date]],"mmm")</f>
        <v>Apr</v>
      </c>
      <c r="D261" t="str">
        <f>TEXT(Table1[[#This Row],[Date]],"yyyy")</f>
        <v>2024</v>
      </c>
      <c r="E261" t="s">
        <v>1</v>
      </c>
      <c r="F261" t="s">
        <v>2</v>
      </c>
      <c r="G261" t="s">
        <v>13</v>
      </c>
      <c r="H261">
        <v>4078.75</v>
      </c>
      <c r="I261">
        <v>5</v>
      </c>
      <c r="J261">
        <v>626.94000000000005</v>
      </c>
    </row>
    <row r="262" spans="1:10" x14ac:dyDescent="0.25">
      <c r="A262" t="s">
        <v>272</v>
      </c>
      <c r="B262" s="1">
        <v>45131</v>
      </c>
      <c r="C262" t="str">
        <f>TEXT(Table1[[#This Row],[Date]],"mmm")</f>
        <v>Jul</v>
      </c>
      <c r="D262" t="str">
        <f>TEXT(Table1[[#This Row],[Date]],"yyyy")</f>
        <v>2023</v>
      </c>
      <c r="E262" t="s">
        <v>10</v>
      </c>
      <c r="F262" t="s">
        <v>2</v>
      </c>
      <c r="G262" t="s">
        <v>11</v>
      </c>
      <c r="H262">
        <v>1535.4</v>
      </c>
      <c r="I262">
        <v>10</v>
      </c>
      <c r="J262">
        <v>127.95</v>
      </c>
    </row>
    <row r="263" spans="1:10" x14ac:dyDescent="0.25">
      <c r="A263" t="s">
        <v>273</v>
      </c>
      <c r="B263" s="1">
        <v>45307</v>
      </c>
      <c r="C263" t="str">
        <f>TEXT(Table1[[#This Row],[Date]],"mmm")</f>
        <v>Jan</v>
      </c>
      <c r="D263" t="str">
        <f>TEXT(Table1[[#This Row],[Date]],"yyyy")</f>
        <v>2024</v>
      </c>
      <c r="E263" t="s">
        <v>1</v>
      </c>
      <c r="F263" t="s">
        <v>2</v>
      </c>
      <c r="G263" t="s">
        <v>13</v>
      </c>
      <c r="H263">
        <v>9330.2099999999991</v>
      </c>
      <c r="I263">
        <v>9</v>
      </c>
      <c r="J263">
        <v>748.75</v>
      </c>
    </row>
    <row r="264" spans="1:10" x14ac:dyDescent="0.25">
      <c r="A264" t="s">
        <v>274</v>
      </c>
      <c r="B264" s="1">
        <v>45218</v>
      </c>
      <c r="C264" t="str">
        <f>TEXT(Table1[[#This Row],[Date]],"mmm")</f>
        <v>Oct</v>
      </c>
      <c r="D264" t="str">
        <f>TEXT(Table1[[#This Row],[Date]],"yyyy")</f>
        <v>2023</v>
      </c>
      <c r="E264" t="s">
        <v>17</v>
      </c>
      <c r="F264" t="s">
        <v>8</v>
      </c>
      <c r="G264" t="s">
        <v>3</v>
      </c>
      <c r="H264">
        <v>1487.77</v>
      </c>
      <c r="I264">
        <v>2</v>
      </c>
      <c r="J264">
        <v>615.23</v>
      </c>
    </row>
    <row r="265" spans="1:10" x14ac:dyDescent="0.25">
      <c r="A265" t="s">
        <v>275</v>
      </c>
      <c r="B265" s="1">
        <v>45374</v>
      </c>
      <c r="C265" t="str">
        <f>TEXT(Table1[[#This Row],[Date]],"mmm")</f>
        <v>Mar</v>
      </c>
      <c r="D265" t="str">
        <f>TEXT(Table1[[#This Row],[Date]],"yyyy")</f>
        <v>2024</v>
      </c>
      <c r="E265" t="s">
        <v>17</v>
      </c>
      <c r="F265" t="s">
        <v>8</v>
      </c>
      <c r="G265" t="s">
        <v>11</v>
      </c>
      <c r="H265">
        <v>1802.72</v>
      </c>
      <c r="I265">
        <v>2</v>
      </c>
      <c r="J265">
        <v>758.2</v>
      </c>
    </row>
    <row r="266" spans="1:10" x14ac:dyDescent="0.25">
      <c r="A266" t="s">
        <v>276</v>
      </c>
      <c r="B266" s="1">
        <v>44954</v>
      </c>
      <c r="C266" t="str">
        <f>TEXT(Table1[[#This Row],[Date]],"mmm")</f>
        <v>Jan</v>
      </c>
      <c r="D266" t="str">
        <f>TEXT(Table1[[#This Row],[Date]],"yyyy")</f>
        <v>2023</v>
      </c>
      <c r="E266" t="s">
        <v>10</v>
      </c>
      <c r="F266" t="s">
        <v>2</v>
      </c>
      <c r="G266" t="s">
        <v>18</v>
      </c>
      <c r="H266">
        <v>560.36</v>
      </c>
      <c r="I266">
        <v>7</v>
      </c>
      <c r="J266">
        <v>61.54</v>
      </c>
    </row>
    <row r="267" spans="1:10" x14ac:dyDescent="0.25">
      <c r="A267" t="s">
        <v>277</v>
      </c>
      <c r="B267" s="1">
        <v>45010</v>
      </c>
      <c r="C267" t="str">
        <f>TEXT(Table1[[#This Row],[Date]],"mmm")</f>
        <v>Mar</v>
      </c>
      <c r="D267" t="str">
        <f>TEXT(Table1[[#This Row],[Date]],"yyyy")</f>
        <v>2023</v>
      </c>
      <c r="E267" t="s">
        <v>7</v>
      </c>
      <c r="F267" t="s">
        <v>8</v>
      </c>
      <c r="G267" t="s">
        <v>13</v>
      </c>
      <c r="H267">
        <v>1437.18</v>
      </c>
      <c r="I267">
        <v>6</v>
      </c>
      <c r="J267">
        <v>195.14</v>
      </c>
    </row>
    <row r="268" spans="1:10" x14ac:dyDescent="0.25">
      <c r="A268" t="s">
        <v>278</v>
      </c>
      <c r="B268" s="1">
        <v>45076</v>
      </c>
      <c r="C268" t="str">
        <f>TEXT(Table1[[#This Row],[Date]],"mmm")</f>
        <v>May</v>
      </c>
      <c r="D268" t="str">
        <f>TEXT(Table1[[#This Row],[Date]],"yyyy")</f>
        <v>2023</v>
      </c>
      <c r="E268" t="s">
        <v>5</v>
      </c>
      <c r="F268" t="s">
        <v>2</v>
      </c>
      <c r="G268" t="s">
        <v>18</v>
      </c>
      <c r="H268">
        <v>219.52</v>
      </c>
      <c r="I268">
        <v>3</v>
      </c>
      <c r="J268">
        <v>49.88</v>
      </c>
    </row>
    <row r="269" spans="1:10" x14ac:dyDescent="0.25">
      <c r="A269" t="s">
        <v>279</v>
      </c>
      <c r="B269" s="1">
        <v>45649</v>
      </c>
      <c r="C269" t="str">
        <f>TEXT(Table1[[#This Row],[Date]],"mmm")</f>
        <v>Dec</v>
      </c>
      <c r="D269" t="str">
        <f>TEXT(Table1[[#This Row],[Date]],"yyyy")</f>
        <v>2024</v>
      </c>
      <c r="E269" t="s">
        <v>10</v>
      </c>
      <c r="F269" t="s">
        <v>2</v>
      </c>
      <c r="G269" t="s">
        <v>11</v>
      </c>
      <c r="H269">
        <v>3261.42</v>
      </c>
      <c r="I269">
        <v>8</v>
      </c>
      <c r="J269">
        <v>369.91</v>
      </c>
    </row>
    <row r="270" spans="1:10" x14ac:dyDescent="0.25">
      <c r="A270" t="s">
        <v>280</v>
      </c>
      <c r="B270" s="1">
        <v>45189</v>
      </c>
      <c r="C270" t="str">
        <f>TEXT(Table1[[#This Row],[Date]],"mmm")</f>
        <v>Sep</v>
      </c>
      <c r="D270" t="str">
        <f>TEXT(Table1[[#This Row],[Date]],"yyyy")</f>
        <v>2023</v>
      </c>
      <c r="E270" t="s">
        <v>5</v>
      </c>
      <c r="F270" t="s">
        <v>2</v>
      </c>
      <c r="G270" t="s">
        <v>3</v>
      </c>
      <c r="H270">
        <v>3543.02</v>
      </c>
      <c r="I270">
        <v>4</v>
      </c>
      <c r="J270">
        <v>671.27</v>
      </c>
    </row>
    <row r="271" spans="1:10" x14ac:dyDescent="0.25">
      <c r="A271" t="s">
        <v>281</v>
      </c>
      <c r="B271" s="1">
        <v>45040</v>
      </c>
      <c r="C271" t="str">
        <f>TEXT(Table1[[#This Row],[Date]],"mmm")</f>
        <v>Apr</v>
      </c>
      <c r="D271" t="str">
        <f>TEXT(Table1[[#This Row],[Date]],"yyyy")</f>
        <v>2023</v>
      </c>
      <c r="E271" t="s">
        <v>1</v>
      </c>
      <c r="F271" t="s">
        <v>2</v>
      </c>
      <c r="G271" t="s">
        <v>13</v>
      </c>
      <c r="H271">
        <v>1179.53</v>
      </c>
      <c r="I271">
        <v>5</v>
      </c>
      <c r="J271">
        <v>205.36</v>
      </c>
    </row>
    <row r="272" spans="1:10" x14ac:dyDescent="0.25">
      <c r="A272" t="s">
        <v>282</v>
      </c>
      <c r="B272" s="1">
        <v>45581</v>
      </c>
      <c r="C272" t="str">
        <f>TEXT(Table1[[#This Row],[Date]],"mmm")</f>
        <v>Oct</v>
      </c>
      <c r="D272" t="str">
        <f>TEXT(Table1[[#This Row],[Date]],"yyyy")</f>
        <v>2024</v>
      </c>
      <c r="E272" t="s">
        <v>7</v>
      </c>
      <c r="F272" t="s">
        <v>8</v>
      </c>
      <c r="G272" t="s">
        <v>13</v>
      </c>
      <c r="H272">
        <v>4309.0200000000004</v>
      </c>
      <c r="I272">
        <v>10</v>
      </c>
      <c r="J272">
        <v>376.55</v>
      </c>
    </row>
    <row r="273" spans="1:10" x14ac:dyDescent="0.25">
      <c r="A273" t="s">
        <v>283</v>
      </c>
      <c r="B273" s="1">
        <v>45574</v>
      </c>
      <c r="C273" t="str">
        <f>TEXT(Table1[[#This Row],[Date]],"mmm")</f>
        <v>Oct</v>
      </c>
      <c r="D273" t="str">
        <f>TEXT(Table1[[#This Row],[Date]],"yyyy")</f>
        <v>2024</v>
      </c>
      <c r="E273" t="s">
        <v>10</v>
      </c>
      <c r="F273" t="s">
        <v>2</v>
      </c>
      <c r="G273" t="s">
        <v>3</v>
      </c>
      <c r="H273">
        <v>5850.55</v>
      </c>
      <c r="I273">
        <v>9</v>
      </c>
      <c r="J273">
        <v>468.54</v>
      </c>
    </row>
    <row r="274" spans="1:10" x14ac:dyDescent="0.25">
      <c r="A274" t="s">
        <v>284</v>
      </c>
      <c r="B274" s="1">
        <v>44928</v>
      </c>
      <c r="C274" t="str">
        <f>TEXT(Table1[[#This Row],[Date]],"mmm")</f>
        <v>Jan</v>
      </c>
      <c r="D274" t="str">
        <f>TEXT(Table1[[#This Row],[Date]],"yyyy")</f>
        <v>2023</v>
      </c>
      <c r="E274" t="s">
        <v>15</v>
      </c>
      <c r="F274" t="s">
        <v>8</v>
      </c>
      <c r="G274" t="s">
        <v>13</v>
      </c>
      <c r="H274">
        <v>3921.04</v>
      </c>
      <c r="I274">
        <v>10</v>
      </c>
      <c r="J274">
        <v>295.2</v>
      </c>
    </row>
    <row r="275" spans="1:10" x14ac:dyDescent="0.25">
      <c r="A275" t="s">
        <v>285</v>
      </c>
      <c r="B275" s="1">
        <v>45463</v>
      </c>
      <c r="C275" t="str">
        <f>TEXT(Table1[[#This Row],[Date]],"mmm")</f>
        <v>Jun</v>
      </c>
      <c r="D275" t="str">
        <f>TEXT(Table1[[#This Row],[Date]],"yyyy")</f>
        <v>2024</v>
      </c>
      <c r="E275" t="s">
        <v>7</v>
      </c>
      <c r="F275" t="s">
        <v>8</v>
      </c>
      <c r="G275" t="s">
        <v>3</v>
      </c>
      <c r="H275">
        <v>572.30999999999995</v>
      </c>
      <c r="I275">
        <v>6</v>
      </c>
      <c r="J275">
        <v>72.790000000000006</v>
      </c>
    </row>
    <row r="276" spans="1:10" x14ac:dyDescent="0.25">
      <c r="A276" t="s">
        <v>286</v>
      </c>
      <c r="B276" s="1">
        <v>45326</v>
      </c>
      <c r="C276" t="str">
        <f>TEXT(Table1[[#This Row],[Date]],"mmm")</f>
        <v>Feb</v>
      </c>
      <c r="D276" t="str">
        <f>TEXT(Table1[[#This Row],[Date]],"yyyy")</f>
        <v>2024</v>
      </c>
      <c r="E276" t="s">
        <v>17</v>
      </c>
      <c r="F276" t="s">
        <v>8</v>
      </c>
      <c r="G276" t="s">
        <v>3</v>
      </c>
      <c r="H276">
        <v>541.65</v>
      </c>
      <c r="I276">
        <v>8</v>
      </c>
      <c r="J276">
        <v>53.96</v>
      </c>
    </row>
    <row r="277" spans="1:10" x14ac:dyDescent="0.25">
      <c r="A277" t="s">
        <v>287</v>
      </c>
      <c r="B277" s="1">
        <v>44943</v>
      </c>
      <c r="C277" t="str">
        <f>TEXT(Table1[[#This Row],[Date]],"mmm")</f>
        <v>Jan</v>
      </c>
      <c r="D277" t="str">
        <f>TEXT(Table1[[#This Row],[Date]],"yyyy")</f>
        <v>2023</v>
      </c>
      <c r="E277" t="s">
        <v>15</v>
      </c>
      <c r="F277" t="s">
        <v>8</v>
      </c>
      <c r="G277" t="s">
        <v>18</v>
      </c>
      <c r="H277">
        <v>4716.8500000000004</v>
      </c>
      <c r="I277">
        <v>6</v>
      </c>
      <c r="J277">
        <v>635.04999999999995</v>
      </c>
    </row>
    <row r="278" spans="1:10" x14ac:dyDescent="0.25">
      <c r="A278" t="s">
        <v>288</v>
      </c>
      <c r="B278" s="1">
        <v>45522</v>
      </c>
      <c r="C278" t="str">
        <f>TEXT(Table1[[#This Row],[Date]],"mmm")</f>
        <v>Aug</v>
      </c>
      <c r="D278" t="str">
        <f>TEXT(Table1[[#This Row],[Date]],"yyyy")</f>
        <v>2024</v>
      </c>
      <c r="E278" t="s">
        <v>1</v>
      </c>
      <c r="F278" t="s">
        <v>2</v>
      </c>
      <c r="G278" t="s">
        <v>3</v>
      </c>
      <c r="H278">
        <v>923.69</v>
      </c>
      <c r="I278">
        <v>6</v>
      </c>
      <c r="J278">
        <v>124.06</v>
      </c>
    </row>
    <row r="279" spans="1:10" x14ac:dyDescent="0.25">
      <c r="A279" t="s">
        <v>289</v>
      </c>
      <c r="B279" s="1">
        <v>45628</v>
      </c>
      <c r="C279" t="str">
        <f>TEXT(Table1[[#This Row],[Date]],"mmm")</f>
        <v>Dec</v>
      </c>
      <c r="D279" t="str">
        <f>TEXT(Table1[[#This Row],[Date]],"yyyy")</f>
        <v>2024</v>
      </c>
      <c r="E279" t="s">
        <v>15</v>
      </c>
      <c r="F279" t="s">
        <v>8</v>
      </c>
      <c r="G279" t="s">
        <v>11</v>
      </c>
      <c r="H279">
        <v>8110.48</v>
      </c>
      <c r="I279">
        <v>8</v>
      </c>
      <c r="J279">
        <v>785.04</v>
      </c>
    </row>
    <row r="280" spans="1:10" x14ac:dyDescent="0.25">
      <c r="A280" t="s">
        <v>290</v>
      </c>
      <c r="B280" s="1">
        <v>44991</v>
      </c>
      <c r="C280" t="str">
        <f>TEXT(Table1[[#This Row],[Date]],"mmm")</f>
        <v>Mar</v>
      </c>
      <c r="D280" t="str">
        <f>TEXT(Table1[[#This Row],[Date]],"yyyy")</f>
        <v>2023</v>
      </c>
      <c r="E280" t="s">
        <v>7</v>
      </c>
      <c r="F280" t="s">
        <v>8</v>
      </c>
      <c r="G280" t="s">
        <v>11</v>
      </c>
      <c r="H280">
        <v>461.39</v>
      </c>
      <c r="I280">
        <v>8</v>
      </c>
      <c r="J280">
        <v>48.85</v>
      </c>
    </row>
    <row r="281" spans="1:10" x14ac:dyDescent="0.25">
      <c r="A281" t="s">
        <v>291</v>
      </c>
      <c r="B281" s="1">
        <v>45250</v>
      </c>
      <c r="C281" t="str">
        <f>TEXT(Table1[[#This Row],[Date]],"mmm")</f>
        <v>Nov</v>
      </c>
      <c r="D281" t="str">
        <f>TEXT(Table1[[#This Row],[Date]],"yyyy")</f>
        <v>2023</v>
      </c>
      <c r="E281" t="s">
        <v>7</v>
      </c>
      <c r="F281" t="s">
        <v>8</v>
      </c>
      <c r="G281" t="s">
        <v>3</v>
      </c>
      <c r="H281">
        <v>3155.82</v>
      </c>
      <c r="I281">
        <v>5</v>
      </c>
      <c r="J281">
        <v>422</v>
      </c>
    </row>
    <row r="282" spans="1:10" x14ac:dyDescent="0.25">
      <c r="A282" t="s">
        <v>292</v>
      </c>
      <c r="B282" s="1">
        <v>45186</v>
      </c>
      <c r="C282" t="str">
        <f>TEXT(Table1[[#This Row],[Date]],"mmm")</f>
        <v>Sep</v>
      </c>
      <c r="D282" t="str">
        <f>TEXT(Table1[[#This Row],[Date]],"yyyy")</f>
        <v>2023</v>
      </c>
      <c r="E282" t="s">
        <v>17</v>
      </c>
      <c r="F282" t="s">
        <v>8</v>
      </c>
      <c r="G282" t="s">
        <v>13</v>
      </c>
      <c r="H282">
        <v>714.77</v>
      </c>
      <c r="I282">
        <v>1</v>
      </c>
      <c r="J282">
        <v>607.57000000000005</v>
      </c>
    </row>
    <row r="283" spans="1:10" x14ac:dyDescent="0.25">
      <c r="A283" t="s">
        <v>293</v>
      </c>
      <c r="B283" s="1">
        <v>45598</v>
      </c>
      <c r="C283" t="str">
        <f>TEXT(Table1[[#This Row],[Date]],"mmm")</f>
        <v>Nov</v>
      </c>
      <c r="D283" t="str">
        <f>TEXT(Table1[[#This Row],[Date]],"yyyy")</f>
        <v>2024</v>
      </c>
      <c r="E283" t="s">
        <v>15</v>
      </c>
      <c r="F283" t="s">
        <v>8</v>
      </c>
      <c r="G283" t="s">
        <v>3</v>
      </c>
      <c r="H283">
        <v>1985.73</v>
      </c>
      <c r="I283">
        <v>6</v>
      </c>
      <c r="J283">
        <v>233.11</v>
      </c>
    </row>
    <row r="284" spans="1:10" x14ac:dyDescent="0.25">
      <c r="A284" t="s">
        <v>294</v>
      </c>
      <c r="B284" s="1">
        <v>45377</v>
      </c>
      <c r="C284" t="str">
        <f>TEXT(Table1[[#This Row],[Date]],"mmm")</f>
        <v>Mar</v>
      </c>
      <c r="D284" t="str">
        <f>TEXT(Table1[[#This Row],[Date]],"yyyy")</f>
        <v>2024</v>
      </c>
      <c r="E284" t="s">
        <v>10</v>
      </c>
      <c r="F284" t="s">
        <v>2</v>
      </c>
      <c r="G284" t="s">
        <v>13</v>
      </c>
      <c r="H284">
        <v>2339.06</v>
      </c>
      <c r="I284">
        <v>7</v>
      </c>
      <c r="J284">
        <v>284.45</v>
      </c>
    </row>
    <row r="285" spans="1:10" x14ac:dyDescent="0.25">
      <c r="A285" t="s">
        <v>295</v>
      </c>
      <c r="B285" s="1">
        <v>45303</v>
      </c>
      <c r="C285" t="str">
        <f>TEXT(Table1[[#This Row],[Date]],"mmm")</f>
        <v>Jan</v>
      </c>
      <c r="D285" t="str">
        <f>TEXT(Table1[[#This Row],[Date]],"yyyy")</f>
        <v>2024</v>
      </c>
      <c r="E285" t="s">
        <v>1</v>
      </c>
      <c r="F285" t="s">
        <v>2</v>
      </c>
      <c r="G285" t="s">
        <v>13</v>
      </c>
      <c r="H285">
        <v>2325.42</v>
      </c>
      <c r="I285">
        <v>9</v>
      </c>
      <c r="J285">
        <v>228.04</v>
      </c>
    </row>
    <row r="286" spans="1:10" x14ac:dyDescent="0.25">
      <c r="A286" t="s">
        <v>296</v>
      </c>
      <c r="B286" s="1">
        <v>45367</v>
      </c>
      <c r="C286" t="str">
        <f>TEXT(Table1[[#This Row],[Date]],"mmm")</f>
        <v>Mar</v>
      </c>
      <c r="D286" t="str">
        <f>TEXT(Table1[[#This Row],[Date]],"yyyy")</f>
        <v>2024</v>
      </c>
      <c r="E286" t="s">
        <v>10</v>
      </c>
      <c r="F286" t="s">
        <v>2</v>
      </c>
      <c r="G286" t="s">
        <v>3</v>
      </c>
      <c r="H286">
        <v>9332.68</v>
      </c>
      <c r="I286">
        <v>10</v>
      </c>
      <c r="J286">
        <v>796.18</v>
      </c>
    </row>
    <row r="287" spans="1:10" x14ac:dyDescent="0.25">
      <c r="A287" t="s">
        <v>297</v>
      </c>
      <c r="B287" s="1">
        <v>45032</v>
      </c>
      <c r="C287" t="str">
        <f>TEXT(Table1[[#This Row],[Date]],"mmm")</f>
        <v>Apr</v>
      </c>
      <c r="D287" t="str">
        <f>TEXT(Table1[[#This Row],[Date]],"yyyy")</f>
        <v>2023</v>
      </c>
      <c r="E287" t="s">
        <v>15</v>
      </c>
      <c r="F287" t="s">
        <v>8</v>
      </c>
      <c r="G287" t="s">
        <v>18</v>
      </c>
      <c r="H287">
        <v>671.94</v>
      </c>
      <c r="I287">
        <v>2</v>
      </c>
      <c r="J287">
        <v>275.77999999999997</v>
      </c>
    </row>
    <row r="288" spans="1:10" x14ac:dyDescent="0.25">
      <c r="A288" t="s">
        <v>298</v>
      </c>
      <c r="B288" s="1">
        <v>45097</v>
      </c>
      <c r="C288" t="str">
        <f>TEXT(Table1[[#This Row],[Date]],"mmm")</f>
        <v>Jun</v>
      </c>
      <c r="D288" t="str">
        <f>TEXT(Table1[[#This Row],[Date]],"yyyy")</f>
        <v>2023</v>
      </c>
      <c r="E288" t="s">
        <v>10</v>
      </c>
      <c r="F288" t="s">
        <v>2</v>
      </c>
      <c r="G288" t="s">
        <v>13</v>
      </c>
      <c r="H288">
        <v>2628.92</v>
      </c>
      <c r="I288">
        <v>8</v>
      </c>
      <c r="J288">
        <v>294.20999999999998</v>
      </c>
    </row>
    <row r="289" spans="1:10" x14ac:dyDescent="0.25">
      <c r="A289" t="s">
        <v>299</v>
      </c>
      <c r="B289" s="1">
        <v>45208</v>
      </c>
      <c r="C289" t="str">
        <f>TEXT(Table1[[#This Row],[Date]],"mmm")</f>
        <v>Oct</v>
      </c>
      <c r="D289" t="str">
        <f>TEXT(Table1[[#This Row],[Date]],"yyyy")</f>
        <v>2023</v>
      </c>
      <c r="E289" t="s">
        <v>15</v>
      </c>
      <c r="F289" t="s">
        <v>8</v>
      </c>
      <c r="G289" t="s">
        <v>13</v>
      </c>
      <c r="H289">
        <v>106.41</v>
      </c>
      <c r="I289">
        <v>1</v>
      </c>
      <c r="J289">
        <v>78.53</v>
      </c>
    </row>
    <row r="290" spans="1:10" x14ac:dyDescent="0.25">
      <c r="A290" t="s">
        <v>300</v>
      </c>
      <c r="B290" s="1">
        <v>44958</v>
      </c>
      <c r="C290" t="str">
        <f>TEXT(Table1[[#This Row],[Date]],"mmm")</f>
        <v>Feb</v>
      </c>
      <c r="D290" t="str">
        <f>TEXT(Table1[[#This Row],[Date]],"yyyy")</f>
        <v>2023</v>
      </c>
      <c r="E290" t="s">
        <v>15</v>
      </c>
      <c r="F290" t="s">
        <v>8</v>
      </c>
      <c r="G290" t="s">
        <v>11</v>
      </c>
      <c r="H290">
        <v>2805.38</v>
      </c>
      <c r="I290">
        <v>3</v>
      </c>
      <c r="J290">
        <v>681.96</v>
      </c>
    </row>
    <row r="291" spans="1:10" x14ac:dyDescent="0.25">
      <c r="A291" t="s">
        <v>301</v>
      </c>
      <c r="B291" s="1">
        <v>45056</v>
      </c>
      <c r="C291" t="str">
        <f>TEXT(Table1[[#This Row],[Date]],"mmm")</f>
        <v>May</v>
      </c>
      <c r="D291" t="str">
        <f>TEXT(Table1[[#This Row],[Date]],"yyyy")</f>
        <v>2023</v>
      </c>
      <c r="E291" t="s">
        <v>10</v>
      </c>
      <c r="F291" t="s">
        <v>2</v>
      </c>
      <c r="G291" t="s">
        <v>3</v>
      </c>
      <c r="H291">
        <v>554.30999999999995</v>
      </c>
      <c r="I291">
        <v>2</v>
      </c>
      <c r="J291">
        <v>204.08</v>
      </c>
    </row>
    <row r="292" spans="1:10" x14ac:dyDescent="0.25">
      <c r="A292" t="s">
        <v>302</v>
      </c>
      <c r="B292" s="1">
        <v>45507</v>
      </c>
      <c r="C292" t="str">
        <f>TEXT(Table1[[#This Row],[Date]],"mmm")</f>
        <v>Aug</v>
      </c>
      <c r="D292" t="str">
        <f>TEXT(Table1[[#This Row],[Date]],"yyyy")</f>
        <v>2024</v>
      </c>
      <c r="E292" t="s">
        <v>15</v>
      </c>
      <c r="F292" t="s">
        <v>8</v>
      </c>
      <c r="G292" t="s">
        <v>13</v>
      </c>
      <c r="H292">
        <v>674.8</v>
      </c>
      <c r="I292">
        <v>1</v>
      </c>
      <c r="J292">
        <v>491.97</v>
      </c>
    </row>
    <row r="293" spans="1:10" x14ac:dyDescent="0.25">
      <c r="A293" t="s">
        <v>303</v>
      </c>
      <c r="B293" s="1">
        <v>45381</v>
      </c>
      <c r="C293" t="str">
        <f>TEXT(Table1[[#This Row],[Date]],"mmm")</f>
        <v>Mar</v>
      </c>
      <c r="D293" t="str">
        <f>TEXT(Table1[[#This Row],[Date]],"yyyy")</f>
        <v>2024</v>
      </c>
      <c r="E293" t="s">
        <v>15</v>
      </c>
      <c r="F293" t="s">
        <v>8</v>
      </c>
      <c r="G293" t="s">
        <v>18</v>
      </c>
      <c r="H293">
        <v>1226.94</v>
      </c>
      <c r="I293">
        <v>2</v>
      </c>
      <c r="J293">
        <v>467.66</v>
      </c>
    </row>
    <row r="294" spans="1:10" x14ac:dyDescent="0.25">
      <c r="A294" t="s">
        <v>304</v>
      </c>
      <c r="B294" s="1">
        <v>45592</v>
      </c>
      <c r="C294" t="str">
        <f>TEXT(Table1[[#This Row],[Date]],"mmm")</f>
        <v>Oct</v>
      </c>
      <c r="D294" t="str">
        <f>TEXT(Table1[[#This Row],[Date]],"yyyy")</f>
        <v>2024</v>
      </c>
      <c r="E294" t="s">
        <v>10</v>
      </c>
      <c r="F294" t="s">
        <v>2</v>
      </c>
      <c r="G294" t="s">
        <v>18</v>
      </c>
      <c r="H294">
        <v>1229.56</v>
      </c>
      <c r="I294">
        <v>5</v>
      </c>
      <c r="J294">
        <v>214.7</v>
      </c>
    </row>
    <row r="295" spans="1:10" x14ac:dyDescent="0.25">
      <c r="A295" t="s">
        <v>305</v>
      </c>
      <c r="B295" s="1">
        <v>45438</v>
      </c>
      <c r="C295" t="str">
        <f>TEXT(Table1[[#This Row],[Date]],"mmm")</f>
        <v>May</v>
      </c>
      <c r="D295" t="str">
        <f>TEXT(Table1[[#This Row],[Date]],"yyyy")</f>
        <v>2024</v>
      </c>
      <c r="E295" t="s">
        <v>1</v>
      </c>
      <c r="F295" t="s">
        <v>2</v>
      </c>
      <c r="G295" t="s">
        <v>11</v>
      </c>
      <c r="H295">
        <v>3837.1</v>
      </c>
      <c r="I295">
        <v>9</v>
      </c>
      <c r="J295">
        <v>321.85000000000002</v>
      </c>
    </row>
    <row r="296" spans="1:10" x14ac:dyDescent="0.25">
      <c r="A296" t="s">
        <v>306</v>
      </c>
      <c r="B296" s="1">
        <v>45647</v>
      </c>
      <c r="C296" t="str">
        <f>TEXT(Table1[[#This Row],[Date]],"mmm")</f>
        <v>Dec</v>
      </c>
      <c r="D296" t="str">
        <f>TEXT(Table1[[#This Row],[Date]],"yyyy")</f>
        <v>2024</v>
      </c>
      <c r="E296" t="s">
        <v>15</v>
      </c>
      <c r="F296" t="s">
        <v>8</v>
      </c>
      <c r="G296" t="s">
        <v>18</v>
      </c>
      <c r="H296">
        <v>2015.62</v>
      </c>
      <c r="I296">
        <v>8</v>
      </c>
      <c r="J296">
        <v>187.36</v>
      </c>
    </row>
    <row r="297" spans="1:10" x14ac:dyDescent="0.25">
      <c r="A297" t="s">
        <v>307</v>
      </c>
      <c r="B297" s="1">
        <v>45131</v>
      </c>
      <c r="C297" t="str">
        <f>TEXT(Table1[[#This Row],[Date]],"mmm")</f>
        <v>Jul</v>
      </c>
      <c r="D297" t="str">
        <f>TEXT(Table1[[#This Row],[Date]],"yyyy")</f>
        <v>2023</v>
      </c>
      <c r="E297" t="s">
        <v>1</v>
      </c>
      <c r="F297" t="s">
        <v>2</v>
      </c>
      <c r="G297" t="s">
        <v>13</v>
      </c>
      <c r="H297">
        <v>284.37</v>
      </c>
      <c r="I297">
        <v>2</v>
      </c>
      <c r="J297">
        <v>125.87</v>
      </c>
    </row>
    <row r="298" spans="1:10" x14ac:dyDescent="0.25">
      <c r="A298" t="s">
        <v>308</v>
      </c>
      <c r="B298" s="1">
        <v>45016</v>
      </c>
      <c r="C298" t="str">
        <f>TEXT(Table1[[#This Row],[Date]],"mmm")</f>
        <v>Mar</v>
      </c>
      <c r="D298" t="str">
        <f>TEXT(Table1[[#This Row],[Date]],"yyyy")</f>
        <v>2023</v>
      </c>
      <c r="E298" t="s">
        <v>7</v>
      </c>
      <c r="F298" t="s">
        <v>8</v>
      </c>
      <c r="G298" t="s">
        <v>13</v>
      </c>
      <c r="H298">
        <v>4491.2</v>
      </c>
      <c r="I298">
        <v>6</v>
      </c>
      <c r="J298">
        <v>540.91999999999996</v>
      </c>
    </row>
    <row r="299" spans="1:10" x14ac:dyDescent="0.25">
      <c r="A299" t="s">
        <v>309</v>
      </c>
      <c r="B299" s="1">
        <v>45234</v>
      </c>
      <c r="C299" t="str">
        <f>TEXT(Table1[[#This Row],[Date]],"mmm")</f>
        <v>Nov</v>
      </c>
      <c r="D299" t="str">
        <f>TEXT(Table1[[#This Row],[Date]],"yyyy")</f>
        <v>2023</v>
      </c>
      <c r="E299" t="s">
        <v>17</v>
      </c>
      <c r="F299" t="s">
        <v>8</v>
      </c>
      <c r="G299" t="s">
        <v>18</v>
      </c>
      <c r="H299">
        <v>2538.2800000000002</v>
      </c>
      <c r="I299">
        <v>3</v>
      </c>
      <c r="J299">
        <v>575.21</v>
      </c>
    </row>
    <row r="300" spans="1:10" x14ac:dyDescent="0.25">
      <c r="A300" t="s">
        <v>310</v>
      </c>
      <c r="B300" s="1">
        <v>45297</v>
      </c>
      <c r="C300" t="str">
        <f>TEXT(Table1[[#This Row],[Date]],"mmm")</f>
        <v>Jan</v>
      </c>
      <c r="D300" t="str">
        <f>TEXT(Table1[[#This Row],[Date]],"yyyy")</f>
        <v>2024</v>
      </c>
      <c r="E300" t="s">
        <v>1</v>
      </c>
      <c r="F300" t="s">
        <v>2</v>
      </c>
      <c r="G300" t="s">
        <v>11</v>
      </c>
      <c r="H300">
        <v>2620.85</v>
      </c>
      <c r="I300">
        <v>9</v>
      </c>
      <c r="J300">
        <v>194.91</v>
      </c>
    </row>
    <row r="301" spans="1:10" x14ac:dyDescent="0.25">
      <c r="A301" t="s">
        <v>311</v>
      </c>
      <c r="B301" s="1">
        <v>45432</v>
      </c>
      <c r="C301" t="str">
        <f>TEXT(Table1[[#This Row],[Date]],"mmm")</f>
        <v>May</v>
      </c>
      <c r="D301" t="str">
        <f>TEXT(Table1[[#This Row],[Date]],"yyyy")</f>
        <v>2024</v>
      </c>
      <c r="E301" t="s">
        <v>7</v>
      </c>
      <c r="F301" t="s">
        <v>8</v>
      </c>
      <c r="G301" t="s">
        <v>11</v>
      </c>
      <c r="H301">
        <v>400.67</v>
      </c>
      <c r="I301">
        <v>1</v>
      </c>
      <c r="J301">
        <v>301.5</v>
      </c>
    </row>
  </sheetData>
  <phoneticPr fontId="0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Ouwatimileyin Adeyemo</dc:creator>
  <cp:lastModifiedBy>Ouwatimileyin Adeyemo</cp:lastModifiedBy>
  <dcterms:created xsi:type="dcterms:W3CDTF">2025-07-19T11:08:54Z</dcterms:created>
  <dcterms:modified xsi:type="dcterms:W3CDTF">2025-11-14T10:23:11Z</dcterms:modified>
</cp:coreProperties>
</file>